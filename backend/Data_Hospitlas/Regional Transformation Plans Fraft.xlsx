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Katelyn.Carrell\Desktop\"/>
    </mc:Choice>
  </mc:AlternateContent>
  <xr:revisionPtr revIDLastSave="319" documentId="8_{464BFF3F-7335-45B5-9EF7-9D47EB3B1F71}" xr6:coauthVersionLast="47" xr6:coauthVersionMax="47" xr10:uidLastSave="{54DDBB01-6658-43F1-BA7D-9EF03F96C471}"/>
  <bookViews>
    <workbookView xWindow="28680" yWindow="-120" windowWidth="29040" windowHeight="15720" xr2:uid="{0C217AEB-ACF8-412A-87B5-FA3F27C51D23}"/>
  </bookViews>
  <sheets>
    <sheet name="Transformation Initiatives" sheetId="1" r:id="rId1"/>
    <sheet name="Scoring Guide" sheetId="2" r:id="rId2"/>
  </sheets>
  <definedNames>
    <definedName name="_xlnm._FilterDatabase" localSheetId="0" hidden="1">'Transformation Initiatives'!$A$1:$V$1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6" i="1" l="1"/>
</calcChain>
</file>

<file path=xl/sharedStrings.xml><?xml version="1.0" encoding="utf-8"?>
<sst xmlns="http://schemas.openxmlformats.org/spreadsheetml/2006/main" count="1254" uniqueCount="726">
  <si>
    <t>Hospital</t>
  </si>
  <si>
    <t>Goal</t>
  </si>
  <si>
    <t>Readiness</t>
  </si>
  <si>
    <t>Impact</t>
  </si>
  <si>
    <t>RHTP alignment</t>
  </si>
  <si>
    <t>Region</t>
  </si>
  <si>
    <t>Objective</t>
  </si>
  <si>
    <t>Themes</t>
  </si>
  <si>
    <t>Goal Type</t>
  </si>
  <si>
    <t>Action Steps</t>
  </si>
  <si>
    <t>Stakeholders</t>
  </si>
  <si>
    <t>Stakeholder Engagement</t>
  </si>
  <si>
    <t>$$$</t>
  </si>
  <si>
    <t>Detail behind investment</t>
  </si>
  <si>
    <t>Cost Savings</t>
  </si>
  <si>
    <t>Measurement</t>
  </si>
  <si>
    <t xml:space="preserve"> Start Date</t>
  </si>
  <si>
    <t>Completion Date</t>
  </si>
  <si>
    <t>Responsibility</t>
  </si>
  <si>
    <t>Sustainability</t>
  </si>
  <si>
    <t>Workforce</t>
  </si>
  <si>
    <t>Notes, Concerns or Barriers</t>
  </si>
  <si>
    <t>Grace Cottage</t>
  </si>
  <si>
    <t>Expansion outpatient rehab</t>
  </si>
  <si>
    <t>Complete</t>
  </si>
  <si>
    <t>Central</t>
  </si>
  <si>
    <t>Regional</t>
  </si>
  <si>
    <t>Other</t>
  </si>
  <si>
    <t>Access and Capacity</t>
  </si>
  <si>
    <t xml:space="preserve">This project entailed a switch of our admin space building with our outpatient rehab building in order to give our outpatient rehab more space. </t>
  </si>
  <si>
    <t>Hospital leadership and administration
Rehab staff
Facilities and maintenance teams</t>
  </si>
  <si>
    <t>Invoice costs</t>
  </si>
  <si>
    <t>Time to close outpatient referral, tracked in quality committee.
Number of outpatient rehab visits per day. 
Staff satisfaction</t>
  </si>
  <si>
    <t>Completed FY25</t>
  </si>
  <si>
    <t>Crystal Mansfield
Olivia Sweetnam</t>
  </si>
  <si>
    <t xml:space="preserve">We continue to be very busy in outpatient rehab. We routinely see upwards of 50-60 people a day in outpatient rehab. We have specialized therapists including pelvic floor and pediatrics. We also have a speech and language therapist here part time. </t>
  </si>
  <si>
    <t xml:space="preserve">We continiously have 1 or 2 travelers for rehab which are OT and PT and float to our inpatient unit as well as seeing outpatients. We need these traveler staff to keep up with the volume. </t>
  </si>
  <si>
    <t xml:space="preserve">We received a very generous $500,000 gift after the space was completed which helped greatly to offset the cost of renovation. </t>
  </si>
  <si>
    <t>Clinic capital campaign</t>
  </si>
  <si>
    <t>Clinical Service Redesign</t>
  </si>
  <si>
    <t xml:space="preserve">We are renovating our clinic space and creating a new primary care space that will fit our current provider, staff and patient load. We recently received our act 250 and have fundraised more than $16.5M of the $24 total cost. We are currently focused on fundraising as all other planning steps have been completed. We are very excited about this transformational project. </t>
  </si>
  <si>
    <t>Hospital leadership and administration
Community members
Local legislative team
Clinic staff
Referral partners</t>
  </si>
  <si>
    <t>Much community awareness
Partnership with other agencies</t>
  </si>
  <si>
    <t>$24M</t>
  </si>
  <si>
    <t>Vendor quote</t>
  </si>
  <si>
    <t>We ancitipate we will be much more efficient in this space as we will have 2 room per provider as opposed to the old house where the clinic currently operates</t>
  </si>
  <si>
    <t>Clinic throughput
Patient satisfaction
Provider retention and engagement
Clinic staff retention and engagement</t>
  </si>
  <si>
    <t>Spring 2026</t>
  </si>
  <si>
    <t>18 months from start of construction</t>
  </si>
  <si>
    <t>Olivia Sweetnam
Chris Boucher</t>
  </si>
  <si>
    <t>None, it is built for our current workforce, no additional providers or support staff needed</t>
  </si>
  <si>
    <t xml:space="preserve">We would be very interested in discussing how federal transformation dollars could assist in this project. Not only is primary care sorely needed in this area, but this also includes more space for same day access, thereby reducing emergency department reliance. Also, as noted in another section, we previously applied for a HRSA grant (not funded) to extend MIH. We would also offer that part of this space would be used as a GCH MIH hub in partnership with Rescue. </t>
  </si>
  <si>
    <t>Town wide EP</t>
  </si>
  <si>
    <t>Quality and Safety</t>
  </si>
  <si>
    <t xml:space="preserve">After two separate psych elopements from our ED that neccessitated a lockdown of our hospital and neighboring schools, we have taken multiple steps
1. We have created a virtual incident command center for GCH to enhance communication and awareness
2. We met with town officials to walk through communication plan including the use of emergency alert system
3. GCH assisted town with workflow of notification to other town buildings including post office, library etc
4. We applied for a department of homeland security grant to build out security features </t>
  </si>
  <si>
    <t>Hospital leadership and administration
Community leaders
Hospital employees and providers</t>
  </si>
  <si>
    <t>Noted in action steps</t>
  </si>
  <si>
    <t>Staff cost in time. Noother costs as renovations covered by Homeland Security grant</t>
  </si>
  <si>
    <t>Staff costs</t>
  </si>
  <si>
    <t xml:space="preserve">No cost savings, but we believe it is our responsibility to participate as good partners with our community and we are happy to donate staff time to that end. </t>
  </si>
  <si>
    <t>Completed</t>
  </si>
  <si>
    <t>Crystal Durocher
Olivia Sweetnam</t>
  </si>
  <si>
    <t>None</t>
  </si>
  <si>
    <t>Improved patient access and throughput leveraging modern technological advances.</t>
  </si>
  <si>
    <t>Information Technology</t>
  </si>
  <si>
    <t>There are many ways that we would like to improve patient access and throughput using our EMR and existing tech. These include:
1. Offer the ability for our patients to complete paper work and forms ahead of scheduled visits
2. Perform self scheduling and rescheduling of appointments
3. Managing payment plans and pay bills from their personal portal account
4. Attend virtual video visits directly from their portal to our EMR. 
 This work will greatly decrease administrative burden, reduce wait times, enhance producitvity, reduce clinican burnout, reduce no show rates, improve patient satisfaction and improve self pay balance payment capture.</t>
  </si>
  <si>
    <t>Medical Leadership, ambulatory clinical staff, registration/scheduling, billing/medical records, and patients.</t>
  </si>
  <si>
    <t>This project is in the early planning phase.  We have had demonstrations with key stakeholders and obtained quotes from our EMR vendor.</t>
  </si>
  <si>
    <t>Administrative Expense reduction.  Productivity improvements reducing net expense/encounter.</t>
  </si>
  <si>
    <t>Provider productivity,  no show rates, throughput metrics, qualitative patient and clinical staff data collection.</t>
  </si>
  <si>
    <t>Undertermined</t>
  </si>
  <si>
    <t>Chris Boucher</t>
  </si>
  <si>
    <t xml:space="preserve">Due to the expense and our requirement to cut expenses for FY25, we have not been able to prioritize this work. We would be very interested in using federal transformation dollars for this project. </t>
  </si>
  <si>
    <t>Effeciency and modern technology supports recruitment and retention.</t>
  </si>
  <si>
    <t>Technology, Team and Patient Engagement</t>
  </si>
  <si>
    <t xml:space="preserve">External facility Interoperability across foreign systems/or adoption of singular systems to improve regional resource sharing and data collection/analysis in the referral care continuum. </t>
  </si>
  <si>
    <t>Statewide</t>
  </si>
  <si>
    <t>GCFHH works with multiple outside/regional partners operating in different electronic medical records.  The process from order to completion is arduous and full of administrative waste.  It leads to lost results and provider burden due to inability to safely communicate in a secure way--often relying on antiquated and insecure technologies.</t>
  </si>
  <si>
    <t>State technology leaders and law makers, medical leadership, involved third parties, VITL, and EMR vendors.</t>
  </si>
  <si>
    <t>This has been discussed in multiple forums through the years</t>
  </si>
  <si>
    <t xml:space="preserve">Not yet quoted: a consultant is needed. </t>
  </si>
  <si>
    <t>Essentially we need a way to order a referral, have it land where its intended, and the result come back to us seamlessly.  Along with this, we need our providers to have open communication with those consultants using effecient and secure technologies.  It would surprise the average lay person to know how difficult and wasteful this process is now.</t>
  </si>
  <si>
    <t>Building out forensic capacity</t>
  </si>
  <si>
    <t>HRSA Northern Borders Grant to support the SANE (Sexual Assault Nurse Examiner) Care Collaborative &amp; Innovation Network Initiative.  Three-year opportunity aimed at enhancing the quality and capacity of SANE services in small, rural Vermont hospitals through education, training, and quality improvement projects. The first year will be dedicated to skill-building, followed by a focus on implementing a quality improvement project in years two and three.  Each site will send up to two forensic nurses annually to the International Association for Forensic Nursing conference.</t>
  </si>
  <si>
    <t>Quality department
ED and Inpatient nursing
ED and IP Nursing directors
VT state SANE network</t>
  </si>
  <si>
    <t>$6k annually (covered by grant) for conference fees and travel, we also would pay staff for their time, not included in above calculation</t>
  </si>
  <si>
    <t>Completed and ongoing</t>
  </si>
  <si>
    <t>Heather Boucher
Crystal Durocher</t>
  </si>
  <si>
    <t>Yes, but managed</t>
  </si>
  <si>
    <t xml:space="preserve">This is extremely important for the community and patients in this area. Traditionally SANE nurses have been hard to find and building out our on call pool that can help the entire region is very important for quality of care and access for this vulnerable patient population. </t>
  </si>
  <si>
    <t>Best in class hospital, employee and patient satisfaction</t>
  </si>
  <si>
    <t>Net promoter score- best in class, Employee appreciation events (BBQ, holiday presents), "best of" awards in Bratt Reformer in every healthcare category, Rural Health Star Rating- only hospital in Vermont to be 4 and 5 stars (based on patient satisfaction), Governors Excellence in Worksite Wellness award multiple year receipient, gold level</t>
  </si>
  <si>
    <t>Our entire team of leadership and every employee</t>
  </si>
  <si>
    <t>Minimal</t>
  </si>
  <si>
    <t>We appreciate the numerous external metrics that show that we are the employer of choice in southern Vermont and are the only healthcare entity to win "best place to work" award and the only hospital in Vermont to receive 4 stars (now 5 stars) in National Rural Health Rating System</t>
  </si>
  <si>
    <t>Ongoing</t>
  </si>
  <si>
    <t>ongoing</t>
  </si>
  <si>
    <t>Jen Newman</t>
  </si>
  <si>
    <t>Yes, only positive!</t>
  </si>
  <si>
    <t>Strategic planning 2026-2029 in partnership with Ovation resources</t>
  </si>
  <si>
    <t>We are beginning planning for strategic plan as well as master facility planning. We are partnering with Ovation for support (through the collaborative)</t>
  </si>
  <si>
    <t>Community partners
Board members
Hospital leadership</t>
  </si>
  <si>
    <t>Board members engaged in planning conversations</t>
  </si>
  <si>
    <t>Unsure</t>
  </si>
  <si>
    <t>Q2 FY26</t>
  </si>
  <si>
    <t>Q4 FY26</t>
  </si>
  <si>
    <t>Olivia Sweetnam
Dr T Kalchthaler (board member)</t>
  </si>
  <si>
    <t xml:space="preserve">Pipeline build including medical students, residents (UVM) and EMT students from VEMSA- Rescue and Londonderry </t>
  </si>
  <si>
    <t xml:space="preserve">In the past two years we have formed partnerships and encouraged participation from nursing schools, EMT students from Rescue and Londonderry, medical students and residents from UVM. We are committed to building the pipeline for future success of GCH. </t>
  </si>
  <si>
    <t>Medical staff
Nursing staff
Medical school and residency directors
EMS/EMT programs</t>
  </si>
  <si>
    <t>Consistent communication</t>
  </si>
  <si>
    <t>Building a consistent student pipeline</t>
  </si>
  <si>
    <t>Retention and conversion (stident to employee)</t>
  </si>
  <si>
    <t>FY25</t>
  </si>
  <si>
    <t>Jen Newman
Dr W Everett (med staff president)</t>
  </si>
  <si>
    <t xml:space="preserve">Yes, our clinical teams are engaged and are wonderful preceptors to these students. </t>
  </si>
  <si>
    <t>Improve regional transportation for non-urgent patient needs</t>
  </si>
  <si>
    <t>Transfers and Transport</t>
  </si>
  <si>
    <t xml:space="preserve">We have had just beginning conversations regarding feasability of purchasing a wheelchair van to assist with patient transport. Our next steps is deep dive into our data in hospital, OP infusion and clinic to determine how great the need is. We also understand our nursing home partners may have a need here as well. </t>
  </si>
  <si>
    <t>Local healthcare leaders outside GCH
Internal hospital and clinic leadership</t>
  </si>
  <si>
    <t>Just starting conversations</t>
  </si>
  <si>
    <t>$65,000 for van</t>
  </si>
  <si>
    <t>FY26</t>
  </si>
  <si>
    <t>Olivia Sweetnam</t>
  </si>
  <si>
    <t>Leadership development and upskilling- series with Richards Group</t>
  </si>
  <si>
    <t xml:space="preserve">We are proud that in FY25 we partnered with Richards Group to do a series on leadership development for department leader and above at GCH. As a small CAH, the continuing education for hospital leaders is difficult to find. Richards Group have been wonderful partners in this space. </t>
  </si>
  <si>
    <t>Hospital leadership
Richards Group</t>
  </si>
  <si>
    <t>None, Richards Group included in our partnership</t>
  </si>
  <si>
    <t>Employee engagement and retention. 
NPS</t>
  </si>
  <si>
    <t>HRSA Grant MIH</t>
  </si>
  <si>
    <t xml:space="preserve">In FY25 we completed a HRSA grant in order to expand MIH process to GCH. We worked closely with BMH to understand the clinical pathways and also worked closely with Rescue to understand their role and capacity for including GCH patients. Although we did not receive the grant, we are excited and interested to be included in the MIH program and are most likely more advanced compared to some neighboring hospitals as we have already reviewed and vetted the clinical pathways. </t>
  </si>
  <si>
    <t>Hospital leadership
Medical staff
Rescue
BMH</t>
  </si>
  <si>
    <t>Previous work on understanding MIH program with stakeholders. 
Ratifying clinical pathways with our medical staff
Working through process questions or concerns as we were completing the HRSA grant</t>
  </si>
  <si>
    <t>Previous HRSA grant request was from GCH, BMH and Rescue together and was for $250,000 annualy for 4 years- so $1M</t>
  </si>
  <si>
    <t>Hospital readmissions
ED visits</t>
  </si>
  <si>
    <t>Hospital admission and readmissions
ED visits
Rescue visit volume</t>
  </si>
  <si>
    <t>Chris Boucher
Dr Jen Zweig</t>
  </si>
  <si>
    <t>Yes</t>
  </si>
  <si>
    <t>We are excited about this program and are in a position, that if funded, could move quickly to implement. We are interested in pathways outside BMH as well (COPD, DM2, uncontrolled HTN etc)</t>
  </si>
  <si>
    <t>MVP Software Upgrade</t>
  </si>
  <si>
    <t xml:space="preserve">Our pharmacy, Messenger Valley Pharmacy implemented a new software system in FY25 which allows them to service more patients and community members. </t>
  </si>
  <si>
    <t>Pharmacy leadership
Hospital leadership</t>
  </si>
  <si>
    <t>Free</t>
  </si>
  <si>
    <t>Documentation time
Staff retention</t>
  </si>
  <si>
    <t>Time to fill script
Total scripts filled</t>
  </si>
  <si>
    <t>Steve Kapral</t>
  </si>
  <si>
    <t xml:space="preserve">We filled over 6,000 scripts in December 2025- our pharmacy has continued to be busier and busier and as community pharmacies close, MVP collects many patients. We have excellent service and knowledgable techs and pharmacists which leads our pharmacy to be the one of choice for regional patients including Brattleboro residents. </t>
  </si>
  <si>
    <t>BMH</t>
  </si>
  <si>
    <t xml:space="preserve">Ensure patients receive the right care in the right setting at the right time by:
 (1) reducing inter-facility transfer turnaround time to minimize delays in care       
 (2) increasing timely patient repatriation to originating or appropriate facilities to support continuity of care   </t>
  </si>
  <si>
    <t>Southeast</t>
  </si>
  <si>
    <t>1. Form a committee responsible for governance, decision-making, and overall operational responsibility for inpatient resource utilization and transfer management projects. 
2. Assess current capacity (through audit of beds, staff, equipment and other assets) and current workflows.
3. Identify gaps and constraints that need to be addressed to achieve targets, accounting for predictable and unpredictable patient volumes. 
4. Explore technology, workflows, training, and staffing models identified for hospital focused interventions with regional partners, tertiary care centers and AHS.
5. Participate in statewide pulse check calls with tertiary facilities. 
6. Work with Primary Care and other community partners to divert non-emergency care to lower intensity settings as appropriate.
7. Monitor key indicators and adapt/adopt processes as required.                                                                                                                                                                               8. Assess population specific needs to decrease boarding and long length of stays.</t>
  </si>
  <si>
    <t>Patients                                                                                Nursing Supervisors
Hospital Staff (Physicians/Providers, Nurses, Allied Health, Support Staff)
Local Residential Care 
Home Health and Hospice
Mobile Integrated Health
Hospital Leadership and Administration
Local EMS Providers
UVMMC/DH Transfer Centers                                  Regional Transfer Hospitals (Baystate, Hartford)</t>
  </si>
  <si>
    <t>1. Formed stakeholder committee          2. Creaed exclusionary criteria                                     3. Meetings have happened with UVM and DHMC Transfer Centers</t>
  </si>
  <si>
    <t>TBD</t>
  </si>
  <si>
    <t>Business Case</t>
  </si>
  <si>
    <t>Phase I
•Inpatient length of stay (LOS)
•Avoidable inpatient days
•30-day readmission rate
•ED boarding hours
•Patient experience scores for inpatients 
•Occupancy Rate (target: 80-85%)     
Phase II                                                                
 •Percentage of transfers accepted or denied
•Average transfer acceptance time
•Transfer turnaround time (request to bed)
•Repatriation rate (% of eligible patients repatriated)
•% of admissions meeting level-of-care criteria</t>
  </si>
  <si>
    <t>Ethier</t>
  </si>
  <si>
    <t>Stabilizing hopsital inpatiente census helps optimize revenue and esures patients are able to be repatriated to their local hospital.</t>
  </si>
  <si>
    <r>
      <rPr>
        <b/>
        <i/>
        <sz val="18"/>
        <color theme="1"/>
        <rFont val="Aptos Narrow"/>
        <family val="2"/>
        <scheme val="minor"/>
      </rPr>
      <t xml:space="preserve">Identify and prioritize operational cost-savings opportunities and increasing access while preserving workforce stability through evaluating potential shared non-clinical functions and/or purchasing opportunities, process improvement, standardization, and technology optimization projects, with a target of reducing 1% of total operating expenses over 12-24 months.                                                    </t>
    </r>
    <r>
      <rPr>
        <sz val="18"/>
        <color theme="1"/>
        <rFont val="Aptos Narrow"/>
        <family val="2"/>
        <scheme val="minor"/>
      </rPr>
      <t xml:space="preserve">                                                
 </t>
    </r>
  </si>
  <si>
    <t xml:space="preserve">1. Explore expanding administrative shared services through New England Collaborative Health Network (NECHN) 
2. Explore expanding shared services with regional partners
3. Explore engaging consultants for financial and operational assessment/assistance                                                                                                         4. Implement a technology-forward strategy that responsibly leverages AI and automation to improve care quality, streamline administrative processes, and align workforce growth with demand.                                                                                                                                                                                                                            5. Explore data and administrative platforms with NECHN as well as regional partners                                                                                                                                                                                                                                                                                                                
</t>
  </si>
  <si>
    <t>New England Collaborative                                       Brattleboro Retreat                                                           BMH Executive Leadership Team                        BMH Department Leadership                                  BMH Frontline Staff</t>
  </si>
  <si>
    <t xml:space="preserve">Current founding member of NECHN             Current shared service agreement exists                                                                            </t>
  </si>
  <si>
    <t>Shared Services Adoption (%)</t>
  </si>
  <si>
    <t>Optimize service line performance at BMH to advance patient care, strengthen financial sustainability, and expand access by driving improvements in clinical quality, patient experience, and operational efficiency.</t>
  </si>
  <si>
    <t>1. Engage consultants to establish a plan for implementation of improvement strategies 
2.  Analyze patient outcomes, volume trends, cost structures and performance for service lines.           
3. Explore addition of swing beds for subacute rehab                                                                                                    5. Decrease no show rates                                                                                                                                                                                6. Updating Clinician Templates                                                                                                                                                           7. Staff to volume 
8. Explore contract for device monitoring</t>
  </si>
  <si>
    <t>BMH Executive Leadership Team                              BMH Patient and Family Council                                                                    BMH Planning Committee                                                                                                          New England Collaborative (Ovations)                     BMH Department Leaders                               BMH Board of Directors                                          BMH Frontline Staff</t>
  </si>
  <si>
    <t xml:space="preserve">Established BMH Planning Committee          Contracted with consultant for service line evaluation/asssessment                                Contracted with Ovations for Senior Financial Director                                                         </t>
  </si>
  <si>
    <t>• Service line assessment completed 
• Increase access to primary care and specialty practices</t>
  </si>
  <si>
    <t>3/2025?</t>
  </si>
  <si>
    <t>Blofson</t>
  </si>
  <si>
    <t>Explore a Federally Qualified Health Center (FQHC) or FQHC Look-Alike status to expand access to comprehensive, community-based primary care, improve care for underserved populations, and enhance financial sustainability.</t>
  </si>
  <si>
    <t>1.  Explore partnership with NorthStar FQHC                                                                                                                                                         2.  Explore alternate avenues for FQHC look alike                                                                                                                             3.  Explore partnership with other FQHC entities</t>
  </si>
  <si>
    <t>BMH Primary Care Practices                             NorthStar FQHC                                                    BMH Executive Leadership Team                    BMH Board of Directors                                     BMH Patient and Family Council                   BMH Primary Care Frontline Staff</t>
  </si>
  <si>
    <t>Dicussions with NorthStar FQHC</t>
  </si>
  <si>
    <t>Unknown</t>
  </si>
  <si>
    <t>•Assessment completed
•Participation in FQHC collaboration or FQHC Look a like</t>
  </si>
  <si>
    <t>Maintain a financially and operationally sustainable Mobile Integrated Health (MIH) program at Brattleboro Memorial Hospital that improves access, care coordination, and population health outcomes for patients in the region.</t>
  </si>
  <si>
    <t>1. Formalize Leadership group
2. Discuss financial stability with AHS partners through standard billing or RHTP funding
3. Create plan for expansion to NH residents
4. Create plan for service expansion to additional diagnosis and chronic conditions
5. Formalize staffing plan and programmatic needs
6. Review and align program tracking outcomes in alignment with AHS needs</t>
  </si>
  <si>
    <t>BMH Primary Care Practices                             Rescue Inc.                                                              Statewide EMS Services                                      Patient and Family Council                                BMH Inpatient Care Management                  BMH Specialty Practices (Cardiogy, Ortho)                                                                          BMH Quality Department                                   Community Health</t>
  </si>
  <si>
    <t xml:space="preserve">Partnership agreements in place between BMH and Rescue Inc.                                                      </t>
  </si>
  <si>
    <t>•Establish a MIH program
•Patients enrolled vs. eligible
•Cost Effectiveness Analysis *(Will require state assistance)
•Patient Experience of Care
•Chronic Condition Measures (as appropriate for populations selected)</t>
  </si>
  <si>
    <t>McLarney</t>
  </si>
  <si>
    <t>Sustainable funding and reimursement from the State of Vermont</t>
  </si>
  <si>
    <t>Increased need in EMS providers potentially</t>
  </si>
  <si>
    <t>Regional Goal in process</t>
  </si>
  <si>
    <t xml:space="preserve">1. Monthly Regional discussions </t>
  </si>
  <si>
    <t xml:space="preserve">Grace Cottage, BMH, Springfield and Mount Ascutney Hospitals                                     AHS                 </t>
  </si>
  <si>
    <t>Ongoing monthly meetings</t>
  </si>
  <si>
    <t>Gifford</t>
  </si>
  <si>
    <t>New England Collaborative Health Network (NECHN): Pursue lower costs by joining other independent Vermont hospitals/health care organizations via NECHN to implement a new Group Purchasing Organization. Includes partners from VT, NY and NH.</t>
  </si>
  <si>
    <t>Shared Purchasing</t>
  </si>
  <si>
    <r>
      <t>1. Joined NECHN. 2. Reviewed purchasing group pricing compared to previous group (NEAH) to assess savings opportunity. 3. Gave notice to NEAH. 4. Launched GPO. 5. Meas</t>
    </r>
    <r>
      <rPr>
        <sz val="18"/>
        <color rgb="FF000000"/>
        <rFont val="Aptos Narrow"/>
        <family val="2"/>
      </rPr>
      <t>ure success of GP</t>
    </r>
    <r>
      <rPr>
        <sz val="18"/>
        <rFont val="Aptos Narrow"/>
        <family val="2"/>
      </rPr>
      <t>O.</t>
    </r>
  </si>
  <si>
    <t xml:space="preserve">GMC Administration, NECHN members, and Ovation as the backbone purchasing organization. </t>
  </si>
  <si>
    <t>Engaged relevant Gifford staff and board of directors.</t>
  </si>
  <si>
    <t xml:space="preserve"> $-   </t>
  </si>
  <si>
    <r>
      <t xml:space="preserve">Current </t>
    </r>
    <r>
      <rPr>
        <sz val="18"/>
        <rFont val="Aptos Narrow"/>
      </rPr>
      <t>pricing comparison estimated</t>
    </r>
    <r>
      <rPr>
        <b/>
        <sz val="18"/>
        <rFont val="Aptos Narrow"/>
        <family val="2"/>
      </rPr>
      <t xml:space="preserve"> </t>
    </r>
    <r>
      <rPr>
        <b/>
        <sz val="18"/>
        <color rgb="FFFF0000"/>
        <rFont val="Aptos Narrow"/>
        <family val="2"/>
      </rPr>
      <t>a</t>
    </r>
    <r>
      <rPr>
        <sz val="18"/>
        <color rgb="FFFF0000"/>
        <rFont val="Aptos Narrow"/>
        <family val="2"/>
      </rPr>
      <t xml:space="preserve"> </t>
    </r>
    <r>
      <rPr>
        <sz val="18"/>
        <rFont val="Aptos Narrow"/>
      </rPr>
      <t xml:space="preserve">$793,000 savings. Did not include in FY 26 GMCB budget submission given newness of NECHN, lack of experience with this GPO, and price volatility related to tariffs. </t>
    </r>
  </si>
  <si>
    <t>Compare materials spending FY 25 to FY 26.</t>
  </si>
  <si>
    <t>Holland</t>
  </si>
  <si>
    <t xml:space="preserve">We will continue to monitor spending over time and push NECHN to remain competitive. </t>
  </si>
  <si>
    <t>No</t>
  </si>
  <si>
    <r>
      <t>Gifford is a hospital, FQHC, and</t>
    </r>
    <r>
      <rPr>
        <sz val="18"/>
        <color rgb="FF000000"/>
        <rFont val="Aptos Narrow"/>
        <family val="2"/>
      </rPr>
      <t xml:space="preserve"> retirement community. Th</t>
    </r>
    <r>
      <rPr>
        <sz val="18"/>
        <rFont val="Aptos Narrow"/>
      </rPr>
      <t xml:space="preserve">e GPO applies to all Gifford corporate entities.  </t>
    </r>
  </si>
  <si>
    <t xml:space="preserve">New England Collaborative Health Network (NECHN): Pursue lower costs by implementing shared insurance purchasing with NECHN partners, including business insurance lines and health insurance. </t>
  </si>
  <si>
    <t xml:space="preserve">Some NECHN members joined together to buy various business insurances health insurance. This includes coming together to form a Captive Insurance cell to keep accumulated health care savings over time. </t>
  </si>
  <si>
    <t xml:space="preserve">NECHN members, Ovation, HUB International, and TRG HR Group. </t>
  </si>
  <si>
    <t>NECHN stakeholders meet regularly at the executive level to monitor performance.</t>
  </si>
  <si>
    <t xml:space="preserve">Largely uses existing benefit spending. Captive component may cost $150,000 upfront. </t>
  </si>
  <si>
    <r>
      <t xml:space="preserve">Business insurance estimated to save </t>
    </r>
    <r>
      <rPr>
        <sz val="18"/>
        <color rgb="FFFF0000"/>
        <rFont val="Aptos Narrow"/>
      </rPr>
      <t>$180,984</t>
    </r>
    <r>
      <rPr>
        <sz val="18"/>
        <rFont val="Aptos Narrow"/>
      </rPr>
      <t>. Health insurance savings depend on claims experience and performance in the risk pool.</t>
    </r>
  </si>
  <si>
    <r>
      <t>Business insurance spending year over yea</t>
    </r>
    <r>
      <rPr>
        <sz val="18"/>
        <color rgb="FF000000"/>
        <rFont val="Aptos Narrow"/>
        <family val="2"/>
      </rPr>
      <t>r. Health insurance sp</t>
    </r>
    <r>
      <rPr>
        <sz val="18"/>
        <rFont val="Aptos Narrow"/>
      </rPr>
      <t xml:space="preserve">ending CY 25 versus CY 26. </t>
    </r>
  </si>
  <si>
    <t xml:space="preserve">Rolling throughout 2025 for business insurance. 1/1/26 for health insurance. </t>
  </si>
  <si>
    <t>Ongoing.</t>
  </si>
  <si>
    <t xml:space="preserve">NECHN members and Costa, Holland, and Tempesta at Gifford. </t>
  </si>
  <si>
    <t xml:space="preserve">We plan to monitor spending over time and measure against baseline. We would like to harmonize benefit offerings gradually to gain efficiency. </t>
  </si>
  <si>
    <t xml:space="preserve">More affordable health insurance and perhaps some benefit changes. </t>
  </si>
  <si>
    <t xml:space="preserve">These are self-insured entities holding real risk. The goal is to realize financial savings over time understanding the market volatility. </t>
  </si>
  <si>
    <r>
      <t xml:space="preserve">Hospital to Hospital Transfers: Provide better health </t>
    </r>
    <r>
      <rPr>
        <sz val="18"/>
        <color rgb="FF000000"/>
        <rFont val="Aptos Narrow"/>
        <family val="2"/>
      </rPr>
      <t>care and access</t>
    </r>
    <r>
      <rPr>
        <sz val="18"/>
        <rFont val="Aptos Narrow"/>
      </rPr>
      <t xml:space="preserve"> via more appropriate care and potentially lower system costs by transferring patients from DHMC and UVM to Gifford to serve as a pressure release valve in Vermont's health care system. </t>
    </r>
  </si>
  <si>
    <t xml:space="preserve">Starting in fall of 2024, Gifford joined transfer planning calls with Dartmouth and UVM to use GMC capacity to help when larger hospitals were full, trying to get the right patient to the right care at the right time and price. Over time, Gifford has become more skilled at transfers and sending patients for a particular service and returning them to our hospital. This should improve patient flow and care while helping the financial viability of each institution.  </t>
  </si>
  <si>
    <r>
      <t>Gifford's nursing team, DHMC, and UV</t>
    </r>
    <r>
      <rPr>
        <sz val="18"/>
        <color rgb="FF000000"/>
        <rFont val="Aptos Narrow"/>
        <family val="2"/>
      </rPr>
      <t xml:space="preserve">M transfer centers. </t>
    </r>
  </si>
  <si>
    <t xml:space="preserve">We have become good partners with the other facilities and have shared our experience with regional and state partners. </t>
  </si>
  <si>
    <t xml:space="preserve">We have been successful with core staffing thus far. Gifford is seeking to expand inpatient census, on average, from 15+ to 20. This would have additional staffing costs. Total costs TBD depending on mix of local and contract staff.  </t>
  </si>
  <si>
    <t xml:space="preserve">Gifford would like to calculate the total system costs/savings of these transfers over time with the help of our tertiary care partners. </t>
  </si>
  <si>
    <t>Average Daily census, # of transfers, % of successful transfers, and system flow.</t>
  </si>
  <si>
    <t>10/1/24 and ongoing.</t>
  </si>
  <si>
    <t xml:space="preserve">Ongoing. </t>
  </si>
  <si>
    <t>Simeone and partner institutions</t>
  </si>
  <si>
    <t xml:space="preserve">We believe that an inpatient census of approximately 20 a day will lead to a sustainable hospital, investments in our FQHC and senior living facilities, and improvements in patient flow at other institutions. </t>
  </si>
  <si>
    <t xml:space="preserve">Need for more hospitalists and nurses. </t>
  </si>
  <si>
    <t>This is an ongoing strength and success.</t>
  </si>
  <si>
    <t>Shared Services: Improve health and reduce costs (potentially) via shared Radiology services. Specifically, Gifford Medical Center and Rutland Regional (RRMC) are exploring if Rutland Radiologist (RR, an independent radiology group which is embedded at RRMC) can also read for GMC. GMC has recently had to move to a tele-radiology group and is seeking local service.</t>
  </si>
  <si>
    <t xml:space="preserve">1. Meeting between RRMC, RR, and GMC took place at RRMC on 12/12/25. 2. RR and RRMC to travel to GMC in January to see the IT systems that radiologists would use to read and dictate studies. 3. RRMC to continue to explore feasibility with RR with goal to provide a proposal to GMC by February. </t>
  </si>
  <si>
    <t>RRMC, GMC, RR</t>
  </si>
  <si>
    <t>See action steps</t>
  </si>
  <si>
    <t xml:space="preserve">An investment will need to be made by GMC supported by RRMC from technology integration perspective.  </t>
  </si>
  <si>
    <t xml:space="preserve">TBD based on GMC calculations and contract with RR </t>
  </si>
  <si>
    <t>Execute on this or not</t>
  </si>
  <si>
    <t xml:space="preserve">July 1 (unknown at this time) </t>
  </si>
  <si>
    <t xml:space="preserve">October 1 (unknown at this time) </t>
  </si>
  <si>
    <t>McCormick</t>
  </si>
  <si>
    <t xml:space="preserve">GMC will seek to keep costs within an appropriate window between GMC and RR. </t>
  </si>
  <si>
    <t xml:space="preserve">This will likely require RR to hire an additional radiologist </t>
  </si>
  <si>
    <t>GMC believes this could be the start of a promising collaboration with RRMC.</t>
  </si>
  <si>
    <t>Market Analysis: Lower costs and provide better care by partnering with consultants to perform a Strategic Service Line and Market Analysis to understand the optimal service line offerings needed by our HSA.</t>
  </si>
  <si>
    <t>1. Met with Kaufman Hall to build upon work already performed for Vermont's hospitals. 2. Received a proposal in December. Too expensive. 3. Will work with consultants to rescope engagement.</t>
  </si>
  <si>
    <t>GMC Administration</t>
  </si>
  <si>
    <t>Vendor Quote</t>
  </si>
  <si>
    <t xml:space="preserve">TBD per consultant analysis </t>
  </si>
  <si>
    <t>Cost structure and revenue of service lines.</t>
  </si>
  <si>
    <t>10/1/26 for step 1 of any plan.</t>
  </si>
  <si>
    <t>Costa</t>
  </si>
  <si>
    <t>Business line analysis would need to occur to test viability and sustainability.</t>
  </si>
  <si>
    <t>Could require new workers or reduction of current service lines.</t>
  </si>
  <si>
    <t>Overall, we are seeking better insight into service line needs in our service area and region to invest in the most appropriate services.</t>
  </si>
  <si>
    <t>Service Line Exploration: Improve health by exploring whether our CAH or FQHC can become a pharmacy hub and make our clinics pharmacy spokes. Our region is becoming a pharmacy desert and this issue must be addressed.</t>
  </si>
  <si>
    <t xml:space="preserve">1. Hire partner to evaluate viability of pharmacy service line. 2. Review analysis. 3. If viable, find proper partner for this work. </t>
  </si>
  <si>
    <t>GMC, patients, and consultants.</t>
  </si>
  <si>
    <t xml:space="preserve">Signed contract. Received consultant's report. Go/No Go decision on retail pharmacy. </t>
  </si>
  <si>
    <t>9/30/2026 (analysis only)</t>
  </si>
  <si>
    <t>Costa and Holland</t>
  </si>
  <si>
    <t>The consultant's report would need to address sustainability.</t>
  </si>
  <si>
    <t>We would need staff for a retail pharmacy and couriers.</t>
  </si>
  <si>
    <t xml:space="preserve">Service Line Exploration: Improve health and care by building upon our renowned Birthing Center and expanding it, in conjunction with Primary Care, to become a Woman's Health Center of Excellence. Nascent effort. </t>
  </si>
  <si>
    <t xml:space="preserve">1. Hire partner to evaluate viability of service line. 2. Review analysis. 3. If viable, change clinical work flows. </t>
  </si>
  <si>
    <t xml:space="preserve">GMC, patients, consultants, and community. </t>
  </si>
  <si>
    <t>12/31/26 (analysis only)</t>
  </si>
  <si>
    <t>McCormick and White</t>
  </si>
  <si>
    <t>Workforce: Improve care and health by launching Maple Mountain Vermont Family Residency Program via the federal Teaching Health Center program.</t>
  </si>
  <si>
    <t>1. Became backbone organization for effort to create program. 2. Received accreditation from ACGME. 3. Seeking funding. 4. Launch program when funding is secured.</t>
  </si>
  <si>
    <t>Partner organizations, HRSA, State of Vermont, providers.</t>
  </si>
  <si>
    <t xml:space="preserve">The program has been designed and is waiting for launch. </t>
  </si>
  <si>
    <t xml:space="preserve">Number TBD depending on federal budget appropriations. </t>
  </si>
  <si>
    <t>Would create access to care potentially reducing downstream costs.</t>
  </si>
  <si>
    <t>Secure funding. Launch program. Recruitment of residents. Residents begin to practice.  Residents hired in Vermont.</t>
  </si>
  <si>
    <t>Costa and White</t>
  </si>
  <si>
    <t>Like all GME, would be paid for by federal funds and billings from patient care.</t>
  </si>
  <si>
    <t xml:space="preserve">Yes, this would help address Vermont's enormous primary care workforce problem. </t>
  </si>
  <si>
    <t>This project is in conjunction with other FQHCs and hospitals.</t>
  </si>
  <si>
    <t>NMC</t>
  </si>
  <si>
    <t>Act 55 - Cap on charge/reimbursement of outpatient drugs</t>
  </si>
  <si>
    <t>Northwest</t>
  </si>
  <si>
    <t>1. Implement new Act 55 legislation on 1/1/26</t>
  </si>
  <si>
    <t>Hospital Finance and Billing Teams, Hospital Pharmacy Team</t>
  </si>
  <si>
    <t>This item is complete</t>
  </si>
  <si>
    <t>N/A</t>
  </si>
  <si>
    <t>Breault</t>
  </si>
  <si>
    <t>N/A - Mandated legislation</t>
  </si>
  <si>
    <t>The cost savings number reported in Column I is for one full year.</t>
  </si>
  <si>
    <t xml:space="preserve">Establish (by being a founding member) a collaborative of independent hospitals and healthcare providers to identify and evaluate opportunities to share services and reduce costs, improve revenue performance, and increase partnership and collaboration. </t>
  </si>
  <si>
    <t>1. Identify founding members and establish the entity - New England Collaborative Health Network. 2. Hire and onboard a Director to record ideas, facilitate prioritization of initiatives and meetings, report on results, etc. 3. Implement initiatives.</t>
  </si>
  <si>
    <t>Member hospitals and healthcare organizations (Main Groups Include: Senior Leaders, Finance and Revenue Cycle, Human Resources, Information Technology, Supply Chain)</t>
  </si>
  <si>
    <t xml:space="preserve">Several initiatives have been completed and/or are underway. Examples include: Supply Chain Group Purchasing Organization Alignment, Malpractice Insurance, Stop Loss Insurance, etc. </t>
  </si>
  <si>
    <t>&gt;$50,000</t>
  </si>
  <si>
    <t>Goal is $100,000-$300,000 per year, depends on initiatives selected for the year</t>
  </si>
  <si>
    <t xml:space="preserve">Operating Expenses Trended Over Time </t>
  </si>
  <si>
    <t>2024</t>
  </si>
  <si>
    <t>Creating a collaborative for independent organizations that allows group purchases and shared services will lower costs and improve financial sustainability for all members.</t>
  </si>
  <si>
    <t xml:space="preserve">Yes - Future initiatives may include shared staffing models, joint recruitment efforts, etc. </t>
  </si>
  <si>
    <t xml:space="preserve">Transition OBGYN care (outpatient clinic and labor &amp; delivery) from hospital owned to private practice to stabilize and grow labor &amp; delivery services in the region to provide more care locally, improving hospital sustainability and affordability. </t>
  </si>
  <si>
    <t xml:space="preserve">1. Establish the initial stakeholder group (group will evolve over time). 2. Engage third parties for FMV analysis and legal framework. 3. Develop and implement a phased implementation approach, mutually agreeable to both parties - EXAMPLE: Phase I, the private practice providers staff the outpatient OBGYN clinic at NMC and provides business hour coverage of NMC's labor &amp; delivery unit. Phase II, the private practice employs the clinic staff and assumes billing and collections while continuing to provide business hour coverage of NMC's labor &amp; delivery unit. Phase III, the private practice provides 24/7/365 coverage of NMC's labor &amp; delivery unit. 4. Develop communication plan for community and hospital. </t>
  </si>
  <si>
    <t>Patients, Hospital Leadership and Providers and Staff, Private Practice Leadership and Staff</t>
  </si>
  <si>
    <t xml:space="preserve">Meetings between NMC and private practice are currently in process. </t>
  </si>
  <si>
    <t>$1.5M-$3.0M</t>
  </si>
  <si>
    <t>If NMC does not offer labor &amp; delivery services, those services would be provided by UVMMC for our community and the increased cost to the system would be significant (estimated at over $3M per year).</t>
  </si>
  <si>
    <t>Reduction in locum tenens physician spend, reduced clinic expenses, and potential increased birth rates at the hospital.</t>
  </si>
  <si>
    <t>Phase I start date - 4/1/26.</t>
  </si>
  <si>
    <t>Fully implemented model completion date - 4/1/28.</t>
  </si>
  <si>
    <t>Hobbs</t>
  </si>
  <si>
    <t xml:space="preserve">This  plan will be broken into two or three phases with benchmarks established at all three phases. Phase 1 is to contract with a private community OB/GYN practice. This should result in about a $300,000 savings.  Phase II transitions the OB/GYN clinic to the private community partner and will increase the savings to the hospital.  Phase III will transition all OB/GYN services to the community partner including OB coverage 24/7/365. This leaves the hospital with the cost of 24/7 nursing coverage for the inpatient birthing and PEDS unit and inpatient pediatrics provider coverage.  Estimated financial projections show a potential break even point for the hospital at this point.   </t>
  </si>
  <si>
    <t xml:space="preserve">Yes - NMC has been unable to recruit OBGYN physicians in recent years, resulting in a reliance on locums. Transitioning the service to a private practice that has been very successful in recruiting new providers will bring stability and reliability. </t>
  </si>
  <si>
    <t xml:space="preserve">Develop St. Albans based Oncology care program in partnership with UVMMC to provide more care locally, improving access and affordability. </t>
  </si>
  <si>
    <t xml:space="preserve">1. Establish the initial stakeholder group (group will evolve over time). 2. Engage third parties for FMV analysis and legal framework. 3. Develop an implementation plan, mutually agreeable to both parties. 4. Develop communication plan for community and hospital. </t>
  </si>
  <si>
    <t>Patients, Hospital Leadership and Providers and Staff (Both Hospitals)</t>
  </si>
  <si>
    <t xml:space="preserve">Meetings between NMC and UVMMC are currently in process. </t>
  </si>
  <si>
    <t>Unknown - TBD</t>
  </si>
  <si>
    <t>Savings will occur when patients currently seeking care at UVM seek that care at NMC.  Amount TBD.</t>
  </si>
  <si>
    <t># of patients who seek care at NMC once the clinic is established and financial reporting demonstrating financial viability.</t>
  </si>
  <si>
    <t>As Vermont's lowest cost hospital, this program should be sustainable as long as NMC's volumes stabilize and grow after the creation of the new oncology clinic. Continued collaboration and access to clinical trials at UVM will be an important part of the growth and sustainability of the practice.</t>
  </si>
  <si>
    <t xml:space="preserve">Yes - NMC has not owned or operated Oncology care services before. We will need to work with UVMMC to recruit providers and certified staff. </t>
  </si>
  <si>
    <t>Participate in exploration of (and implementation of, if proven impactful and sustainable long term), a statewide electronic health record; improved interoperability strategy; or independent instance of EPIC for NMC that would better align with UVMH as our tertiary provider and neighboring hospital -- improving care coordination, communication, efficiency, and transparency.</t>
  </si>
  <si>
    <t>1. Establish the initial stakeholder group (group will evolve over time) to participate in meetings and conversations at the State level or multi-hospital level. 
2. Significant effort to determine the approach to the project: is it a single instance of a specific EHR for all hospitals; is it a new instance of EPIC for Vermont's smaller hospitals that connects to Dartmouth's EPIC and UVMH EPIC; is it a community connect instance of either UVMH or Dartmouth; or is it a comprehensive capitalization of interoperability through something like VITL to connect existing EHRs in truly useful ways to advance care and efficiency for both clinicians and patients; or is it an independent instance of EPIC for NMC to better communicate with  UVMH.
3. Determine resources and funding necessary to accomplish the selected method (EXAMPLES: number of staff and hours, third party vendors, revenue cycle impacts -- as well as the long term sustainability costs for system operation and maintenance.) 
4. Establish a governing body to ensure proper alignment and consistency of functionality, dictionaries, order sets, documentation, workflows, nomenclature, etc. 
5. Thoughtfully plan the conversion of existing data to the new system, intentionally not underestimating the crucial nature of this step; 
 6. Develop communication plan for community and hospitals. 
7. Implementation and go-live across the State.</t>
  </si>
  <si>
    <t>Participating hospitals, providers, patients, EHR Vendors/Other Vendors, State officials, VITL,  Regulators, etc.</t>
  </si>
  <si>
    <t xml:space="preserve">Initial internal research regarding EHR options for NMC moving forward are just starting. Informal conversations have been held in meetings of the New England Collaborative Health Network that brings together a number of independent hospitals in Vermont. Many internal conversations about opportunities and risks - with curious interest in EPIC but significant concern about the long term affordability of the operating costs. </t>
  </si>
  <si>
    <t xml:space="preserve">TBD - At this time we are unable to determine if this would lead to direct cost savings. It would provide rural hospitals with the same tools used in larger facilities such as UVM and Dartmouth. </t>
  </si>
  <si>
    <t>This will be dependent on what approach is taken.</t>
  </si>
  <si>
    <t>Billings</t>
  </si>
  <si>
    <t>TBD - Dependent on the route taken. Interoperability vs Shared EMR vs independent instance.</t>
  </si>
  <si>
    <t xml:space="preserve">TBD - Unsure if there will be workforce implications related to this initiative. NMC does employ Informaticists and other IT staff, those resources may need to increase or decrease depending on the end product. </t>
  </si>
  <si>
    <t xml:space="preserve">For a shared EMR approach: 
We have heard an unconfirmed report that the cost of going to EPIC for a small VT hospital was $7 million to start and $2.2 million annually thereafter. With that, the upfront cost of this investment would be significant and the ongoing maintenance costs may be significantly higher than what is currently incurred. Proper upfront investment may be possible through these transformation funds. Vermont must identify how ongoing costs will be covered once transformation funding window closes, as those ongoing operational costs may be out of reach for small organizations in the current environment.
A statewide EHR governance committee would be needed to decide on processes built in the EHR. Coming to a consensus on who governs this EHR will be a challenge. 
Putting the State on a single instance of an EHR, may increase susceptibility to cyberattacks and limit statewide redundancy.  EHR System issues will impact all hospitals on the shared platform.
</t>
  </si>
  <si>
    <t xml:space="preserve">Continued participation in New England Collaborative Healthcare Network (NECHN) to reduce costs to improve hospital and Vermont healthcare system sustainability and affordability. </t>
  </si>
  <si>
    <t xml:space="preserve">1. Finalize new additional opportunities to pursue in a prioritized list. 2. Develop a project plan and timeline for each opportunity. 3. Implementation. 4. Communication as needed to community and/or hospital. </t>
  </si>
  <si>
    <t>Hospital Leadership and Staff, Other Participating NECHN Members, Vendors (Various)</t>
  </si>
  <si>
    <t xml:space="preserve">NMC is a founding member of NECHN and groups of stakeholders have met to identify and prioritize opportunities. </t>
  </si>
  <si>
    <t xml:space="preserve">NMC pays a fee to be a member of NECHN and there may be upfront investment required for any individual initiative that NECHN offers to members. None of the fees or upfront investments would be funded by transformation dollars, they would be funded by the savings earned. </t>
  </si>
  <si>
    <t xml:space="preserve">Cost savings are tracked by NECHN and reported to the members. </t>
  </si>
  <si>
    <t>2023</t>
  </si>
  <si>
    <t>Combining purchasing power with other independent healthcare organizations (hospitals, FQHC's, etc.) allows for cost savings in a wide variety of areas, such as supplies and professional services. Lower operating costs results in increased financial sustainability for the participating organizations which leads to increased affordability and sustainability of the Vermont healthcare system.</t>
  </si>
  <si>
    <t xml:space="preserve">TBD - Unsure if there will be workforce implications. Depends on the initiatives, may just be cost savings by contracting as a group or may be shared services that would impact workforce. </t>
  </si>
  <si>
    <t>Participate in implementation of a statewide capacity coordination center to improve access and patient care.</t>
  </si>
  <si>
    <t xml:space="preserve">1. Establish the initial stakeholder group (group will evolve over time) to participate in meetings and conversations at the State level or multi-hospital level. 2. Determine resources and funding necessary to accomplish the goal. 3. Implementation and go-live. 4. Develop communication plan for State/Region/Community/Hospital.  </t>
  </si>
  <si>
    <t>Patients, Hospital Leadership and Staff, Other Hospitals, State Agencies, Vendors(?)</t>
  </si>
  <si>
    <t>Not yet started.</t>
  </si>
  <si>
    <t>TBD - Significant savings to the system if NMC can provide more care locally.</t>
  </si>
  <si>
    <t>Buck</t>
  </si>
  <si>
    <t xml:space="preserve">TBD - Unsure if there will be workforce implications. Unlikely but unknown. </t>
  </si>
  <si>
    <t>NCH</t>
  </si>
  <si>
    <t>2.Engage regional and statewide partners to identify gaps in needed services in Northeast Kingdom, focused on urology and pulmonology to begin, and implement plan to collaboratively meet those needs.</t>
  </si>
  <si>
    <t>1. Create business plan to include patient need, access, and affordability; financial viability; workforce; and communication strategy. 2. Engage UVMMC in planning, contracting, and recruitment. 3. Implement communication strategy with all stakeholders. 4. Complete practice (re) start-up activities in conjunction with UVMMC and NCH participants.</t>
  </si>
  <si>
    <t>UVMMC providers, UVMMC practice leadership, NCH patients, NCH primary care providers, NCH practice clinical and support staff, NCH hospital and ancillary clinical staff, NCH administrative, operational, and financial leadership.</t>
  </si>
  <si>
    <t xml:space="preserve">Held preliminary discussions with UVMMC leadership and agreed in principle to pursue agreement; further discussion and negotiation with UVMMC practice leadership; directly engage NCH Medical Executive Committee, primary care providers, nursing, clinical, and support staff; report to and receive input from NCH Board of Trustees; inform patients/community that services have been reestablished at NCH </t>
  </si>
  <si>
    <r>
      <t xml:space="preserve">$1.178,632 - reduction of ED and I/P services, net of practice revenues: </t>
    </r>
    <r>
      <rPr>
        <sz val="18"/>
        <color rgb="FFFF0000"/>
        <rFont val="Aptos Narrow"/>
        <family val="2"/>
        <scheme val="minor"/>
      </rPr>
      <t>this would save the health system $743,454 per year</t>
    </r>
  </si>
  <si>
    <t>meet or exceed MGMA productivity standards for specialties; reduction in ED and I/P utilization for pulmonary and urological diagnoses</t>
  </si>
  <si>
    <t>In process</t>
  </si>
  <si>
    <t>October 1, 2026</t>
  </si>
  <si>
    <t>Paul</t>
  </si>
  <si>
    <t>NCH has non-provider clinical and support staff to support the service; history of supporting urology practices; culture receptive to NP and PA providers; acceptance of telehealth to support services</t>
  </si>
  <si>
    <t>Recruit, and retain providers</t>
  </si>
  <si>
    <t>GMCB budget approval; time to recruit candidates</t>
  </si>
  <si>
    <t>3.Establish shared services with Northeastern VT Regional Hospital</t>
  </si>
  <si>
    <t xml:space="preserve">(1) Established shared regional pharmacy director position, replacing NCH only director position; (2) Work with NVRH to identify areas for further collaboration;  </t>
  </si>
  <si>
    <t>Administrative, operational, clinical, and Board leaders at NCH and NVRH</t>
  </si>
  <si>
    <t>Hold periodic planning and operational meetings with NVRH and NCH leaders and Board members</t>
  </si>
  <si>
    <t>Save $68,400 in annual salary costs</t>
  </si>
  <si>
    <t>Salary savings</t>
  </si>
  <si>
    <t>July 2025</t>
  </si>
  <si>
    <t>On going</t>
  </si>
  <si>
    <t>Frank</t>
  </si>
  <si>
    <t>reduced 0.40 FTE</t>
  </si>
  <si>
    <t>4.Invest in the NCH workforce to meet the health care needs of our community</t>
  </si>
  <si>
    <t>created and maintained (1) scholarship program for students seeking education/training in health-related fields in our communities; (2) RN new grad residency program; (3) training site for VTSU RN &amp; LPN students; (4) extern program for RN students pre-graduation; (5) LNA clinical training site; (6) internal surgical/PACU tech training program; (7) internal medical assistant training program; (8) RN loan repayment program; (9) partner with North Country Career Center on high school and adult shadowing program; (10) Participate in the Step Up to Healthcare program</t>
  </si>
  <si>
    <t xml:space="preserve">Community members/students, NCH employees, VTSU, AHEC, local schools </t>
  </si>
  <si>
    <t>Regular communication with employees, VTSU, local schools, AHEC</t>
  </si>
  <si>
    <t>Reduced use of temporary staff, improvement in employee turnover/retention</t>
  </si>
  <si>
    <t>Peck</t>
  </si>
  <si>
    <t>Raise funds annually for staff development through events; work with AHEC to identify funds available to support employees and community members</t>
  </si>
  <si>
    <t>Replace temp staff with permanent; reduce additional costs associated with temporary staffing</t>
  </si>
  <si>
    <t>Too few people in the work force to meet staffing needs</t>
  </si>
  <si>
    <t>NVRH</t>
  </si>
  <si>
    <t>By October 1, develop and adopt a  community-informed strategic plan that transforms how care is delivered across Northeastern Vermont.</t>
  </si>
  <si>
    <t>•	Conduct a regional health needs and access assessment in partnership with North Country Hospital (NCH), incorporating population health trends, utilization patterns, workforce capacity, and service gaps.
•	Engage patients, families, clinicians, staff, and community partners through structured listening sessions and co-design processes.
•	Use data and analytics to inform priorities across quality, access, equity, workforce sustainability, and financial stewardship.
•	Redesign care models using a care-continuum lens across inpatient, outpatient, home-based, and virtual settings.
•	Develop a clear implementation roadmap with defined leadership accountability, timelines, and measurable outcomes.
•	Secure formal adoption by Board to support shared ownership and execution.</t>
  </si>
  <si>
    <t>Patients
Hospital Staff 
Hospital Leadership and Administration</t>
  </si>
  <si>
    <t>•Strategic plan completed and Board-approved by October 1
•% of initiatives with defined owners, timelines, and KPIs</t>
  </si>
  <si>
    <t>Design and implement an integrated care and transition model for patients with complex medical, cognitive, and social needs.</t>
  </si>
  <si>
    <t>•	Identify high-risk patient cohorts associated with prolonged length of stay and repeat admissions.
•	Develop multidisciplinary care teams integrating medical, behavioral health, case management, and community supports.
•	Strengthen partnerships with long-term care, home health, and social service agencies.
•	Standardize early discharge planning and transition pathways with clear accountability.
•	Monitor outcomes including length of stay, readmissions, placement delays, and patient experience.</t>
  </si>
  <si>
    <t>• Average length of stay (LOS)
• 30-day readmission rate
• % of high-risk patients with documented care plans</t>
  </si>
  <si>
    <t>Support high-quality care delivery closer to home by repatriating appropriate services and expanding  Doc-to-doc telehealth and remote monitoring.</t>
  </si>
  <si>
    <t>•	Identify services appropriate for repatriation based on quality, volume, workforce readiness, and patient preference.
•	Develop clear transfer and repatriation agreements with tertiary care partners.
•	Expand telehealth and remote patient monitoring to support specialty access, chronic disease management, and post-discharge care.
•	Align operational, credentialing, and payer workflows to ensure sustainability.
•	Monitor clinical outcomes and patient experience.</t>
  </si>
  <si>
    <t>• % of eligible cases repatriated
• Telehealth visit volume
• Transfer-out rate</t>
  </si>
  <si>
    <t>Strengthen clinical comfort and competency in managing higher-acuity patients through shared regional training programs (regional transformation focus).</t>
  </si>
  <si>
    <t>•Develop shared training curricula with NCH focused on high-acuity scenarios, escalation protocols, and team-based care.
•Leverage simulation, tele-education, and shared clinical expertise.
•Standardize competencies and clinical protocols where appropriate.
•Use training initiatives to support recruitment, retention, and clinical confidence.
•Evaluate impact on transfers, quality, and staff experience.</t>
  </si>
  <si>
    <t>• Staff participation in training
• Quality outcomes for higher-acuity cases
• Recruitment and retention trends</t>
  </si>
  <si>
    <t>Create a sustainable, coordinated specialty staffing solution that ensures reliable access to essential and specialty services, strengthens workforce capacity, and aligns regulatory and financing structures so hospitals can jointly plan, share resources, and deliver care that meets the needs of Northeast Vermont's rural and aging population.</t>
  </si>
  <si>
    <r>
      <rPr>
        <sz val="18"/>
        <color rgb="FF000000"/>
        <rFont val="Aptos Narrow"/>
        <family val="2"/>
        <scheme val="minor"/>
      </rPr>
      <t>Regional Service Integration &amp; Shared Capacity</t>
    </r>
    <r>
      <rPr>
        <b/>
        <sz val="18"/>
        <color rgb="FF000000"/>
        <rFont val="Aptos Narrow"/>
        <family val="2"/>
        <scheme val="minor"/>
      </rPr>
      <t xml:space="preserve">
</t>
    </r>
    <r>
      <rPr>
        <sz val="18"/>
        <color rgb="FF000000"/>
        <rFont val="Aptos Narrow"/>
        <family val="2"/>
        <scheme val="minor"/>
      </rPr>
      <t xml:space="preserve">Explore and develop a regional model for shared clinical services—particularly high-need, low-volume specialties (e.g., orthopedics, neurology)—that ensures needed access, reduces avoidable transfers, and prevents service losses at  hospitals. Define regional demands and existing capacity (if any) for high-need specialties through data gathering from Primary Care, EDs, and inpatient providers. </t>
    </r>
    <r>
      <rPr>
        <b/>
        <sz val="18"/>
        <color rgb="FF000000"/>
        <rFont val="Aptos Narrow"/>
        <family val="2"/>
        <scheme val="minor"/>
      </rPr>
      <t xml:space="preserve">
</t>
    </r>
    <r>
      <rPr>
        <sz val="18"/>
        <color rgb="FF000000"/>
        <rFont val="Aptos Narrow"/>
        <family val="2"/>
        <scheme val="minor"/>
      </rPr>
      <t>Workforce Stabilization &amp; Systemwide Expertise
Address the accelerating loss of clinical and operational expertise across the region by developing shared staffing, recruitment, and training strategies, including partnerships with statewide systems (e.g., UVM) and potential generalist-specialist models.</t>
    </r>
    <r>
      <rPr>
        <b/>
        <sz val="18"/>
        <color rgb="FF000000"/>
        <rFont val="Aptos Narrow"/>
        <family val="2"/>
        <scheme val="minor"/>
      </rPr>
      <t xml:space="preserve">
</t>
    </r>
    <r>
      <rPr>
        <sz val="18"/>
        <color rgb="FF000000"/>
        <rFont val="Aptos Narrow"/>
        <family val="2"/>
        <scheme val="minor"/>
      </rPr>
      <t>Regulatory Alignment Enabling Transformation</t>
    </r>
    <r>
      <rPr>
        <b/>
        <sz val="18"/>
        <color rgb="FF000000"/>
        <rFont val="Aptos Narrow"/>
        <family val="2"/>
        <scheme val="minor"/>
      </rPr>
      <t xml:space="preserve">
</t>
    </r>
    <r>
      <rPr>
        <sz val="18"/>
        <color rgb="FF000000"/>
        <rFont val="Aptos Narrow"/>
        <family val="2"/>
        <scheme val="minor"/>
      </rPr>
      <t xml:space="preserve">Work with AHS and the GMCB to ensure clear, coordinated expectations that support regional planning—including predictable pathways for adding or sharing services, reallocating resources across the region, and avoiding regulatory barriers that prevent hospitals from meeting demand - and propose innovative opportunities for moving toward reference based pricing and or global budgets for shared services. </t>
    </r>
    <r>
      <rPr>
        <b/>
        <sz val="18"/>
        <color rgb="FF000000"/>
        <rFont val="Aptos Narrow"/>
        <family val="2"/>
        <scheme val="minor"/>
      </rPr>
      <t xml:space="preserve">
</t>
    </r>
    <r>
      <rPr>
        <sz val="18"/>
        <color rgb="FF000000"/>
        <rFont val="Aptos Narrow"/>
        <family val="2"/>
        <scheme val="minor"/>
      </rPr>
      <t xml:space="preserve">
Financial and Contracting Reform to Support Shared Services
Establish structural, contracting, budgeting, and payment mechanisms that allow hospitals to jointly invest in shared staff, facilities, and service lines without creating unsustainable net patient revenue pressures.
</t>
    </r>
    <r>
      <rPr>
        <b/>
        <sz val="18"/>
        <color rgb="FF000000"/>
        <rFont val="Aptos Narrow"/>
        <family val="2"/>
        <scheme val="minor"/>
      </rPr>
      <t>Regional Governance &amp; Planning Infrastructure</t>
    </r>
    <r>
      <rPr>
        <sz val="18"/>
        <color rgb="FF000000"/>
        <rFont val="Aptos Narrow"/>
        <family val="2"/>
        <scheme val="minor"/>
      </rPr>
      <t xml:space="preserve">
Build the analytical, project management, and decision-making capacity required to carry out regional transformation, including use of external expertise (from Act 68 Grant Funding), so that regional decisions are data-driven, timely, and transparent.</t>
    </r>
  </si>
  <si>
    <t xml:space="preserve">Met with UVM Medical Group to discuss process for identifying specialty needs. </t>
  </si>
  <si>
    <t>Access to specialty service (wait times)
Recruitment and retention
Specific Clinical Outcomes
Patient Experience of Care</t>
  </si>
  <si>
    <t>RRMC</t>
  </si>
  <si>
    <t>Establish a community-integrated pediatric care model, developed in partnership with local pediatricians and pediatric-focused community and regional providers, that maintains access, timeliness, and quality while advancing efficiency, cost containment, and long-term sustainability. As RRMC transitions from a standalone pediatric inpatient unit, the model will emphasize right-site care  and pediatric observation/extended-stay services. This approach supports appropriate clinical outcomes, clear escalation and transfer pathways for higher-acuity care, and a sustainable, regionally coordinated pediatric care continuum.
RRMC's commitment is to continue to work towards long standing healthcare cost reductions, and this goal is in alignment with that as we project to save $3 million annually with this clinical design. 
Requested funds will support the development of a pediatric observation/extended-stay beds and associated workflow and protocol redesign in partnership with community providers.</t>
  </si>
  <si>
    <t>TBD based on ongoing discussion with AHS.
Current Proposal:
1.	Schedule an AHS, Community Health, and RRMC kickoff to align on priorities and the overall transformation approach.
2.	Capture what’s working now and the biggest pain points for families, clinicians, and staff (including sustainability concerns).
3.	Collect questions/concerns from Community Health and identify any needed pre-conversations with community providers.
4.	Build and confirm the stakeholder list 
5.	Convene a Pediatric Care Transformation Planning Group to guide the process and refine participation.
6.	Agree on engagement principles (shared goals, transparency, clinical expertise, continuum-of-care focus).
7.	Co-design the community meeting plan (agenda, facilitation approach, communications, and how input will be captured).
8.	Host an in-person community-wide pediatric transformation meeting to establish a shared view of the current landscape.
9.	Use the meeting to identify alignment, collaboration opportunities, constraints, and a shortlist of transformation concepts to explore next.</t>
  </si>
  <si>
    <t>To begin (not all inclusive):
1. Pediatricians and Family Medicine Providers
2. Emergency Medical Services (EMS)
3. Schools
4. Parent Child Centers
5. Designated Agency (Rutland Mental Health)
6. Head Start
7. Vermont Achievement Center
8. Hospital Leaders
9. OBGYNs</t>
  </si>
  <si>
    <t xml:space="preserve">Steering group will determine full list of stakeholders and how/when to engage those organizations and individuals. </t>
  </si>
  <si>
    <t>Cost savings are related to staffing reductions of the inpatient pediatric unit</t>
  </si>
  <si>
    <t xml:space="preserve">Goals and success measures would be developed through the ongoing work of the steering committee/governance structure and guided through data analytics. </t>
  </si>
  <si>
    <t xml:space="preserve">Watson / Lapp </t>
  </si>
  <si>
    <t xml:space="preserve">TBD based on design of system </t>
  </si>
  <si>
    <t xml:space="preserve">N/A (not considering inpatient closure) </t>
  </si>
  <si>
    <t xml:space="preserve">Identify opportunities to increase appropriate utilization of Hospice services in the Rutland HSA, including evaluating the need for an outpatient palliative care clinic to support earlier goals-of-care discussions and navigation of complex chronic disease. This hospital and VNA collaboration will also strengthen the financial sustainability of our local VNA partner by increasing hospice census and creating a more predictable, mission-aligned revenue base that supports staffing, coverage, and long-term community access to end-of-life services.
As a secondary component, we will partner with SVMC to determine how these findings can be scaled across our region. </t>
  </si>
  <si>
    <t xml:space="preserve">This work is a result of AHS' Rapid Cycle Transformation Grant awards. 
1. Consultant (Chartis) to evaluate:
a. why Hospice (and Palliative Care) utilization is low and used late in the Rutland area. 
b. Explore if a Palliative Care clinic is needed that can service southern part of the state. 
c. look to understand how we can reduce individuals at end of life from utilizing high cost and intensive hospital resource (high cost)
d. understand if southern Vermont should have a respite house similar to the one in Colchester, VT. </t>
  </si>
  <si>
    <t>1. Rutland Regional Medical Center (RRMC)
2. VNA of the Southwest Region (Home Health and Hospice)
3. Community Health (FQHC)
4. Support and Services at Home (SASH)
5. Council on Aging</t>
  </si>
  <si>
    <t xml:space="preserve">This work is being done in collaboration with them. They are partners in this work. </t>
  </si>
  <si>
    <t>$150,000 awarded</t>
  </si>
  <si>
    <t xml:space="preserve">Variable, based on cost avoidance. </t>
  </si>
  <si>
    <t>1. Hospice Utilization in Rutland County
2. Length of Hospice Stay
3. Palliative Care utilization
4. Reduction in End of Life admissions to RRMC
5. Improvement in patient/family Quality of Life</t>
  </si>
  <si>
    <t>Consulting engagement to begin 2/1/26</t>
  </si>
  <si>
    <t>Summary and Action Plan in Place by 5/1/26</t>
  </si>
  <si>
    <t>Reynolds</t>
  </si>
  <si>
    <t xml:space="preserve">Investing in Palliative Care and increasing Hospice can reduce Hospital expenditures at the end of life. ROI needs to show that investing in Palliative Care offering is offset by EOL individuals avoiding inpatient admissions.  </t>
  </si>
  <si>
    <t>Yes, likely but TBD</t>
  </si>
  <si>
    <t xml:space="preserve">Happy to share the grant application if further information needed. </t>
  </si>
  <si>
    <t>RRMC will work to facilitate with Gifford Medical Center (GMC) interest in exploring if Rutland Radiologist (RR, an independent radiology group which is embedded here at RRMC) can also read for GMC. GMC has recently had to move to a teleradiology group that is not meeting their needs.</t>
  </si>
  <si>
    <t xml:space="preserve">1. Meeting between RRMC, RR, and GMC took place at RRMC on 12/12/25. 
2. RR and RRMC to travel to GMC in January to see in person the IT systems that radiologists would use to read and dictate studies. 
3. RRMC to continue to explore feasibility with RR with goal to provide a proposal to GMC by February. </t>
  </si>
  <si>
    <t>see action steps</t>
  </si>
  <si>
    <t xml:space="preserve">An investment will need to be made by GMC however supported by RRMC from technology integration perspective. </t>
  </si>
  <si>
    <t>TBD based on GMC calculations and contract with RR</t>
  </si>
  <si>
    <t>Execute on this or NOT</t>
  </si>
  <si>
    <t>RRMC is support only, ongoing sustainability TBD between RR and GMC</t>
  </si>
  <si>
    <t>Position RRMC as a regional referral resource by building standardized transfer and acceptance pathways, coordinated with UVMMC and regional partners, so nearby hospitals can reliably send appropriate patients to RRMC for timely higher-acuity care, including expanded opportunity to admit and manage ICU-level patients within our capabilities</t>
  </si>
  <si>
    <t>1.	Define regional referral metrics + baseline (volume, acceptance rate, time-to-accept, capacity constraints).
2.	Launch an in-house RRMC Transfer Center (single number, intake workflow, staffing, escalation).
3.	Create RRMC referral acceptance criteria and service menu for general medical (“general sickness”) and higher-acuity/ICU patients.
4.	Implement “true ICU bed protection” with downgrade criteria and escalation to preserve ICU capacity for appropriate ICU referrals.
5.	Hold recurring capacity huddles (Transfer Center and bed management with UVMMC as needed).
6.	Pilot with 1–2 sending hospitals for a limited set of diagnoses/acuity; refine from early cases.
7.	Build transport plan by acuity (BLS/ALS/critical care/vent-capable) + standard RN/MD handoff checklist.
8.	Define tiered provider staffing triggers when ICU census exceeds &gt;7 true ICU patients.
9.	Standardize protocols for common general medicine and ICU referral diagnoses (sepsis, CHF/COPD, DKA, vent/NIV, sedation, lines).
10.	Add enabling services as needed (e.g., remote EEG monitoring) to expand capability.
11.	Execute transfer agreements (and repatriation expectations) with participating hospitals.
12.	Set governance + dashboard (monthly ops call, quarterly quality review, continuous improvement).</t>
  </si>
  <si>
    <t>1.	RRMC ICU Medical Director
2.	RRMC Nursing Leadership (ED, ICU)
3.	RRMC House Resource/ Patient Flow
4.	UVMMC/UVM Transfer Center (Call Center) Director
5.	RRMC Hospitalist Service Medical Director
6.	RRMC Emergency Department Medical Director
7.	RRMC Respiratory Therapy Director
8.	RRMC Education
9.	EMS / Regional Critical Care Transport Provider Leadership
10.	Referring Hospital CMO/CNO or ED Director</t>
  </si>
  <si>
    <t xml:space="preserve">RRMC is participating in state led calls regarding this topic. </t>
  </si>
  <si>
    <t>Unknown at this time</t>
  </si>
  <si>
    <t xml:space="preserve">Bringing appropriate patients to Rutland, including its ICU, creates cost-saving opportunity by using  closer to home beds  at RRMC while allowing tertiary centers to focus on more advanced cases. </t>
  </si>
  <si>
    <t>Success is demonstrated when RRMC’s in-house Transfer Center reliably increases accepted regional referrals (including appropriate ICU admissions), reduces time-to-accept/arrival, and maintains safe outcomes and staffing triggers (e.g., sustained true ICU census &gt;7 with appropriate coverage) while reducing transfer refusals due to capacity constraints.</t>
  </si>
  <si>
    <t>Watson / Lapp</t>
  </si>
  <si>
    <t>Sustainability will be ensured by operating the RRMC Transfer Center as a permanent, staffed function with standardized intake protocols, tiered staffing and flex-capacity triggers, and ongoing governance using a monthly dashboard (volume, timeliness, outcomes, refusals) to continuously adjust resources and maintain reliable regional referral performance.</t>
  </si>
  <si>
    <t xml:space="preserve">Yes, related to employing sufficient level of ICU providers if ADC grows &gt;7. </t>
  </si>
  <si>
    <t xml:space="preserve">Develop a Cardiac Electrophysiology Hub, where patients from south central Vermont can receive pacemakers and right side ablations (SVT/atrial flutter) without having to travel to a tertiary facility. This keeps patients local while allowing UVM and DHMC to handle to higher acuity procedures in a more timely manner.  
Requested funds will support the purchase and acquisition of cardiac machines required for this service. </t>
  </si>
  <si>
    <t xml:space="preserve">Regional </t>
  </si>
  <si>
    <t xml:space="preserve">1.	Establish EP Hub Governance: Appoint executive sponsor, clinical lead (EP cardiologist), and project manager; launch recurring steering meetings.
2.	Confirm Scope &amp; Care Pathways: Define Tier 1–2 services delivered at RRMC and clear referral/transfer criteria to UVM/DHMC for higher-acuity EP.
3.	Complete ROI + Reimbursement Validation: Partner with billing/coding + finance to validate CPT-based revenue, payer mix, and contribution margin for Tier 1–2.
4.	Finalize Capital Needs: Translate Tier 1–2 needs into a capital equipment list and HR1 justification (rural access, reduced travel, timely care).
5.	Select Vendors &amp; Execute Contracts: Obtain quotes, choose mapping/ablation platform and pacing components, and finalize service/support agreements.
6.	Prepare Facility &amp; IT Readiness: Confirm procedural space, power/IT integration, equipment footprint, safety requirements, and post-procedure monitoring capacity.
7.	Build Supply Chain &amp; Case Carts: Establish inventory par levels, ordering processes, and standardized case carts for physiologic pacing and right-sided ablations.
8.	Develop Clinical Protocols &amp; Order Sets: Create patient selection criteria, peri-procedure pathways, documentation templates, and discharge/follow-up standards.
9.	Staffing, Training, and Competency: Train teams; establish competencies, vendor in-services, inpatient education, and coverage model (including anesthesia as needed).
10.	Credentialing &amp; Privileging: Implement privileging/proctoring requirements for Tier 1 pacing and Tier 2 SVT/atrial flutter ablations.
11.	Phased Go-Live (Tier 1 → Tier 2): Launch Tier 1 first with controlled ramp; then initiate Tier 2 ablations and scale to target monthly case volume.
</t>
  </si>
  <si>
    <t>1.	EP-Trained Cardiologist / Clinical Program Lead
2.	PeriOp Services Leadership (to include SPD)
3.	Anesthesia Medical Director 
4.	Cardiology Clinic Manager / Referral Intake Lead
5.	Facilities and Construction 
6.	Device Clinic Coordinator
7.	Revenue Cycle / Coding &amp; Billing Lead
8.	Finance / Service Line Administrator 
9.	Supply Chain / Materials Management
10.	External EP Partner(s) at UVM and DHMC 
11.	Regional EMS Leadership 
12.  Education and Nursing Leadership</t>
  </si>
  <si>
    <t xml:space="preserve">RRMC has begun offering Tier 1 services (pacemakers) but would need to reconvene with the stakeholders to discuss Tier 2 services (right sided ablations) before beginning. Tier 3 would be a major lift likely many years out. </t>
  </si>
  <si>
    <t>Performing pacemaker implants and right-sided SVT/atrial flutter ablations locally can reduce costly EMS transfers and ED boarding, avoid duplicate testing and delays, lower patient travel and time-off burdens, and preserve tertiary-center capacity for higher-acuity cases.</t>
  </si>
  <si>
    <t>1. Access / Timeliness: Median days from referral to procedure (pacemaker; SVT/flutter ablation).
2. Volume Kept Local: Number of Tier 1–2 procedures performed locally and transfer rate for eligible cases (% transferred out).
3. Safety / Quality: Complication rate (e.g., major complications within 30 days) and 30-day unplanned readmissions/ED revisits.
4. Patient Burden Reduction: Estimated patient travel miles/hours saved versus referral to tertiary centers (aggregate per quarter/year).
5. System Efficiency / EMS Impact: Number of interfacility transfers avoided (and associated EMS transport hours saved, if available).</t>
  </si>
  <si>
    <t>Kyhill / Reynolds</t>
  </si>
  <si>
    <t>HR1 funds will support one-time startup needs (equipment, training, and workflow build), and the program will be sustained long-term through reliable reimbursement from Tier 1–2 procedure volume, validated billing/charge capture, cross-trained existing staff, vendor service agreements, and ongoing quality/access monitoring with established referral/transfer partnerships.</t>
  </si>
  <si>
    <t xml:space="preserve">RRMC has the EP cardiologist in house already and likely sufficient nursing staff for these procedures. </t>
  </si>
  <si>
    <t xml:space="preserve">To be determined opportunity with SVMC beyond Hospice &amp; Palliative Care work. </t>
  </si>
  <si>
    <t xml:space="preserve">Enhance Women’s Health Services into a comprehensive Women’s Health Hub that meets growing regional demand for women's wellness care and problem-focused care. The goal will involve two areas of focus.
1) We will expand outpatient OBGYN services by renovating and relocating to a newly acquired RRMC campus building, enabling growth patient access, midwifery, expanded group education offerings, alongside evaluation of shifting mammography out of the hospital and into the  clinic setting.
2) In parallel, we will modernize the Birthing Center by transitioning to an LDRP model that improves patient experience and aligns with current expectations by allowing patients to remain in one room for labor, delivery, recovery, and postpartum.
Requested funds will support the renovations of both the outpatient clinic building as well as the inpatient LDRP location. </t>
  </si>
  <si>
    <t>1.	Define the scope of the Women’s Health Hub and LDRP transformation and agree on what success looks like, including clear measures for access, patient experience, volume, cost, and key timeline milestones.
2.	Complete a demand, capacity, and workflow assessment to quantify community need, document current constraints, and right-size the future clinic and birthing center design based on real utilization and patient flow.
3.	Build the clinical operating model and staffing plan, including provider templates, midwifery coverage, triage and referral pathways, and the training required to support new workflows in both the expanded clinic and an LDRP model.
4.	Finalize the facility plan for the acquired building by confirming the layout, room mix, education/class space, equipment, IT needs, and a phased move approach that minimizes disruption to care.
5.	Develop the business cases and secure approvals for the clinic expansion, the birthing center remodel, and the evaluation of moving mammography to a clinic setting, including the full regulatory, staffing, throughput, and financial implications.
6.	Execute a phased implementation with strong governance and change management, including communication to staff and the community, go-live readiness planning, updated scheduling and referral processes, launch of expanded services and group classes, and ongoing performance monitoring with rapid-cycle improvements after go-live.</t>
  </si>
  <si>
    <t>1.	Women’s Health Clinic leadership (medical director + clinic manager)
2.	OB/GYN Medical director and providers
3.	Nursing leadership
4.	Anesthesia leadership
5.	Pediatrics/newborn care leadership
6.	Radiology/Mammography leadership (and ultrasound as applicable)
7.	Facilities/Engineering + Construction project management
8.	Finance/Revenue Cycle (capital planning, coding/billing, prior auth)
9.	IT/EHR &amp; clinical informatics (scheduling, documentation, orders)</t>
  </si>
  <si>
    <t xml:space="preserve">Minimal work efforts have occurred. This project (beyond some basic LDRP design) is in the early stages. </t>
  </si>
  <si>
    <t>Success is achieved when RRMC’s Women’s Health Hub and LDRP Birthing Center measurably reduce time-to-appointment and improve capacity and patient experience—while maintaining or improving quality and safety outcomes and lowering the total cost of care where appropriate</t>
  </si>
  <si>
    <t>Construction to start summer 2026</t>
  </si>
  <si>
    <t>Kyhill / Watson / Petersen</t>
  </si>
  <si>
    <t>Sustainability will be ensured by embedding standardized workflows and staffing models, monitoring a standing KPI dashboard (access, volume, quality/safety, experience, and cost) with monthly governance review, and funding ongoing upkeep and training through the hub’s operating budget and continuous improvement cycles.</t>
  </si>
  <si>
    <t xml:space="preserve">RRMC would be looking for an additional midwife to add to the one we already have. </t>
  </si>
  <si>
    <t>UVMHN</t>
  </si>
  <si>
    <t xml:space="preserve">Strengthen population health capabilities to improve identification and care of high risk patients.
</t>
  </si>
  <si>
    <t>1. Implement a nurse-led Annual Wellness Visit (AWV) model to expand preventive services capacity and improve timely access for Medicare beneficiaries.
2. Establish centralized panel management operations to support primary care practices with outreach, care-gap closure, and ongoing patient engagement.
3. Deploy a systemwide risk-stratification approach using clinical, utilization, and social-needs data to identify patients who may benefit from targeted interventions or enhanced care coordination.
4. Develop standardized workflows and protocols to ensure consistent delivery of proactive, population-based outreach across all primary care sites.
5. Expand centralized post-discharge follow-up outreach to patients to assess risk and schedule timely follow-up with PCP or specialist.
6. Integrate population health teams with primary care practices to support care coordination, chronic disease management, and navigation for high- and rising-risk patients.
7. Monitor performance and access metrics (e.g., AWV completion, panel cleanliness, outreach completion, care-gap closure, access indicators) and use real-time data to inform continuous improvement.
8. Equip care teams with training and tools to support population-based management, including care-gap dashboards, risk-stratification tools, and standardized scripts and workflows.
9. Develop and implement strategies for known care gap disparities (i.e., colon cancer screening in Medicaid members).
10. Implement proactive workflows to support access and affordability by leveraging site of service.</t>
  </si>
  <si>
    <t xml:space="preserve">UVM Health Medical Group, Population Health Services organization, Community Health Centers </t>
  </si>
  <si>
    <t>Internal alignment meetings and meetings with CHC</t>
  </si>
  <si>
    <t>UVM Health has experience providing population health services through contractual agreements with non‑UVM Health partners, and we are open to partnering in this way with independent primary care practices.</t>
  </si>
  <si>
    <t>Meet or exceed the system target in at least 60% (3 out of 5) of the HVC Quality Measures in UVMH Primary Care attributed population by 9/30/2026. 
Composite elements:
• Diabetes A1c Control (A1c&lt;9) (Target &lt;10%)
• Depression Screening &amp; Follow-up (Target 70%)
• Hypertension Blood Pressure Control (Target 75%)
• Colorectal Cancer Screening (Target 75%)
• Breast Cancer Screening (Target 82%)</t>
  </si>
  <si>
    <t xml:space="preserve">ongoing </t>
  </si>
  <si>
    <t>Moschella</t>
  </si>
  <si>
    <t>Sustainability plan will be developed in the next phase.</t>
  </si>
  <si>
    <t>Expand coordinated team-based care and access to community‑based services within primary care.</t>
  </si>
  <si>
    <t xml:space="preserve">1.	Expand Integrated Care Management Team capacity for UVM Health primary care practices through additional funding to broaden access to community health services. 
2.	Extend existing care management and outreach workflows to more primary care practices to support preventive and chronic care needs. 
3.	Increase proactive patient engagement by enhancing ICMT capacity to use existing population health tools and data. 
4.	Strengthen collaboration between ICMT and primary care teams by reinforcing current communication and coordination practices. 
5.	Support overall sustainability and scalability of the standardized care management model to serve a larger patient population.
6. Implement an enhanced ICM team for highest risk, highest utilizers that would benefit from greater support.
7. Partner with AHS to establish e-referral system, building on the pilot between Epic and Vermont 21,1 to reduce administrative burden and improve patient referrals for HRSNs.
8. Expore partnering with independent practices to offer UVM Health population health services to partners in primay care. </t>
  </si>
  <si>
    <t>UVM Health Medical Group, Population Health Services organization, AHS</t>
  </si>
  <si>
    <t>Strong internal collaboration between UVM Health medical group, primary care, and the Blueprint</t>
  </si>
  <si>
    <t>--</t>
  </si>
  <si>
    <t>NA</t>
  </si>
  <si>
    <t>We would leverage any additional team‑based care Blueprint funding to better align resources with current staffing needs and sustain UVM Health's team‑based care services.</t>
  </si>
  <si>
    <t>Improve access to specialty care across the lifespan in partnership with hospitals in each HSA through a number of modalities.</t>
  </si>
  <si>
    <r>
      <rPr>
        <sz val="18"/>
        <color rgb="FF000000"/>
        <rFont val="Calibri"/>
        <family val="2"/>
      </rPr>
      <t xml:space="preserve">1.	Develop a model and process to determine the demand for specialty encounters in each HSA, by specialty.
2.	As part of this modeling, within each specialty, determine the appropriate encounter type or modality for the projected demand: on-site consultation (by leased physician or locally employed APP), remote consultation, diagnostic testing and interpretation, transfer, etc.
3.	Provide on-site specialty clinic visits supported either by hub-provided physicians or locally employed APPs trained by the hub.
4.	Provide telehealth outpatient encounters with patients located at the local organization and providers at the hub.
5.	Support teleconsultation for hospitalized patients in selected specialties to help patients avoid unnecessary transfers from their home HSA.
6.	Extend teleconsultation support to patients transferred back to their home HSA after acute treatment at a hub location.
7.	Support a region-wide partnership to coordinate specialty-specific interfacility transfer needs.
8.	Use on-site clinics and remote consultations to maintain continuity of care for patients who do require transfer.
9.	Enable remote interpretation of locally conducted diagnostic testing to keep more patients in their home HSA and improve study turnaround times.
10.	Provide hub-supported training for local diagnostic technicians as needed.
</t>
    </r>
    <r>
      <rPr>
        <sz val="18"/>
        <color rgb="FFFF0000"/>
        <rFont val="Calibri"/>
        <family val="2"/>
      </rPr>
      <t xml:space="preserve">
</t>
    </r>
    <r>
      <rPr>
        <sz val="18"/>
        <color rgb="FF000000"/>
        <rFont val="Calibri"/>
        <family val="2"/>
      </rPr>
      <t xml:space="preserve">
</t>
    </r>
    <r>
      <rPr>
        <sz val="18"/>
        <color rgb="FFFF0000"/>
        <rFont val="Calibri"/>
        <family val="2"/>
      </rPr>
      <t xml:space="preserve">
</t>
    </r>
  </si>
  <si>
    <t>UVM Health, AHS, partner hospitals, Medical Group.</t>
  </si>
  <si>
    <t>UVM Health, AHS, partner hospitals, Medical Group. Meetings with partner hospitals (BMH, North Country, Gifford, NRVH) and AHS.</t>
  </si>
  <si>
    <t>UVM Health would not require additional funding for this effort. We would work directly with individual hospitals to understand their needs, and providers would bill for services accordingly.</t>
  </si>
  <si>
    <t>Improve our provider recruitment performance by 10%.​</t>
  </si>
  <si>
    <t>Dillon</t>
  </si>
  <si>
    <t>Partner with designated agencies and other community partners to explore expanding access to timely, community‑based evaluation, stabilization, and coordinated connection to ongoing MH/SUD care.</t>
  </si>
  <si>
    <t xml:space="preserve">1.	Work with regional partners to define the scope of mental health urgent care, inventory current mental health/substance use disorder urgent care and crisis response capacity across northwest and central Vermont.
2.	Participate in a scoping process to identify gaps in hours, geography, staffing, and service types.
3.	Co-create a shared regional model for delivering mental health/substance use disorder urgent care.
</t>
  </si>
  <si>
    <t>Howard Center, Washington County Mental Health, Counseling Services of Addison County</t>
  </si>
  <si>
    <t xml:space="preserve">UVMMC is already working closely with Howard Center on mental health urgent care in Burlington. </t>
  </si>
  <si>
    <t>An expansion of services would require additional investment for both our designated agencies and for UVM Health as a potential partner. These costs would need to be fully scoped as part of a detailed business plan.</t>
  </si>
  <si>
    <t xml:space="preserve">Measurement methodology will be explored more deeply in the next phase of transformation plan development. </t>
  </si>
  <si>
    <t>Leahy</t>
  </si>
  <si>
    <t>Improve patient access in both primary and specialty care by increasing adoption of self‑service scheduling tools and ensuring appointment availability is fully utilized.</t>
  </si>
  <si>
    <t xml:space="preserve">1.	Educate operational leaders on best practice workflows and system tools to improve utilization, maximize access, and support digital features such as Fast Pass and MyChart/Luma rescheduling.
2.	Adopt standardized provider templates, visit types and lengths, and change control processes to ensure optimal use and alignment with provider cFTE across specialties.
3.	Create consistent scheduling workflows across specialties to reduce variation and improve efficiency.
4.	Implement decision trees to guide staff through appropriate scheduling pathways.
5.	Enable cross site appointment options to expand access and improve patient convenience.
6.	Implement patient self scheduling through tools such as ticket scheduling and direct scheduling.
</t>
  </si>
  <si>
    <t xml:space="preserve">UVMH Medical Group, primary care practices, specialty care providers, UVM Heatlh Population Health Services Organization </t>
  </si>
  <si>
    <t>Strong internal collaboration between UVM Health medical group, primary care</t>
  </si>
  <si>
    <t xml:space="preserve">1. Schedule utilization (Epic metric)— defined as the percentage of time booked on a provider’s schedule.
Denominator: regular time available — the total time a provider is scheduled to be available.
Numerator: booked time as of 24 hours prior — includes late‑cancellation time.
2. Provider utilization (Epic metric) — retrospective, influenced by no‑shows and late cancellations.
3. Ease of scheduling your appointment (Press Ganey patient experience metric)
4. Patient experience surveys, specifically questions related to 1) ease of scheduling your appointment, and 2) ability to get an appointment at a time that met your needs
</t>
  </si>
  <si>
    <t>Godaire</t>
  </si>
  <si>
    <t>Establish a centralized statewide system to coordinate ICU and acute‑care beds and guide all interfacility transfers, ensuring safe, timely patient placement across hospitals, EMS, and community facilities.</t>
  </si>
  <si>
    <t xml:space="preserve">1. Oversee all ICU beds across the state to ensure optimal utilization and patient safety.
2. Expand the communication center to coordinate all EMS interfacility transports 24/7, building on its current orchestration of 8,900 annual transports; anticipate at least doubling case volume with ED transfers and other hospital outflows.
3. Track and inform acute care bed placement and coordinate all acute care beds statewide by implementing a unified resource platform such as Epic; note that statewide Epic availability would make this the first priority.
4. Extend coordination to skilled and non-acute facilities statewide using tools like CarePort or WellSky; develop a long-term plan that balances hospital and community needs while scaling CCS capabilities for acute, rehab, skilled, and mental health beds.
5.  Increase the percentage of eligible patients successfully transferred back to their referring facility or regional facility once specialized care needs have been met to ensure tertiary care capacity. </t>
  </si>
  <si>
    <t>UVM Health, AHS, EMS providers, partner hospitals.</t>
  </si>
  <si>
    <t>Meeting with partners throughout the state, including: NMC, Copley, Gifford, Rutland Regional, NVRH, North Country, as well as local, regional, and state EMS partners, and AHS.</t>
  </si>
  <si>
    <t>The development of a centralized statewide resource would require additional investment for UVM Health. These costs would need to be fully scoped as part of a detailed business plan.</t>
  </si>
  <si>
    <t>UVM Health will develop a comprehensive program evaluation if this effort is prioritized for action by AHS.</t>
  </si>
  <si>
    <t xml:space="preserve">Pacy </t>
  </si>
  <si>
    <t>Grow Mobile Integrated Health capacity to reduce CHF‑related readmissions to CVMC's Emergency Department.</t>
  </si>
  <si>
    <t>1. Identify CHF patients who are at a high-risk for readmission.
2. Work with Barre Town to provide Mobile Integated Health visits focused on medication reconciliation, symptom monitoring, and patient education.
3. Integrate with CVMC care management, primary care providers, cardiology, and palliative care teams for continuity of care.</t>
  </si>
  <si>
    <t>Barre Town EMS</t>
  </si>
  <si>
    <t>Established partnership with Barre Town EMS</t>
  </si>
  <si>
    <t>$150K for one year pilot</t>
  </si>
  <si>
    <t>CHF Readmissions at CVMC</t>
  </si>
  <si>
    <t>Greenberg</t>
  </si>
  <si>
    <t>Strengthen coordination between the hospital and community service providers to improve transitional care follow‑up in the Middlebury health service area.</t>
  </si>
  <si>
    <t xml:space="preserve">1.	Establish care coordination agreement with community services providers, like Counseling Services of Addison County.
2.	Enhance communication between community service providers and medical providers in Epic.
3.	Improve referral pathways across EMS, hospitals, clinics, and community service providers.
</t>
  </si>
  <si>
    <t>Counseling Services of Addison County, Turning Point of Addison County, Porter Emergency Department, Porter Primary Care practices, John Graham Shelter</t>
  </si>
  <si>
    <t>Middlebury EMS</t>
  </si>
  <si>
    <t>Measurement methodology will be explored more fully in the next phase. Expanding and strengthening referrals is also a priority identified in the Porter Medical Center Community Health Improvement Plan, and it will be included as a measurement focus in the 2026 annual report.</t>
  </si>
  <si>
    <t>Havey/Seaton</t>
  </si>
  <si>
    <t>Expand the use of community‑based, mobile, and alternative sites of care in the Burlington health service area.</t>
  </si>
  <si>
    <t>1. Implement a HealthNet‑anchored strategy to guide systemwide community‑based care initiatives.
2. Develop and launch programs focused on:
      - Falls‑prevention initiatives for at‑risk populations
      - Mobile Integrated Health (MIH) services for heart‑failure and other high‑risk patients
      - Expand street medicine outreach within the Burlington health service area to better support unhoused individuals.
3. Assess community needs in Barre and Middlebury to determine feasibility and priority for program expansion.
4. Develop an expansion plan for Barre and Middlebury based on identified needs, resource availability, and partnership opportunities.</t>
  </si>
  <si>
    <t>local EMS</t>
  </si>
  <si>
    <t>Initial investment of $300K used for IT equipment, desks, etc.</t>
  </si>
  <si>
    <t>Pilot mobile health program to reduce heart failure readmissions.</t>
  </si>
  <si>
    <t>Siket</t>
  </si>
  <si>
    <t>Partner to build a shared digital infrastructure that streamlines referrals, expands access to remote specialty consultation, and enables seamless exchange of clinical information across organizations.</t>
  </si>
  <si>
    <t xml:space="preserve">1.	Develop a common platform or interface to support Enhanced Referrals and detailed referral order workflows that include supporting diagnostic data to speed patient connection to the right provider, clinic, or next test.
2.	Implement eConsults for outpatient/clinic patients, with patients located at their local HSA facility and specialists providing care remotely and asynchronously.
3.	Implement eConsults for hospitalized patients and local inpatient clinical teams, supported by remote specialists asynchronously.
4.	Engage resources to create full access to a functional EpicCare Link workflow for statewide use.
5.	Improve transparency of information flow between physicians through EpicCare Link.
6.	Enable external physicians to place referrals and orders more easily through the platform.
7.	Connect clinicians with specialists using eConsults, enhanced referrals, and e-visits to expand access to specialty care.
8.	Support electronic release of information to indepdent primary care practices, federally qualified health centers, etc.
9.	Facilitate exchange of clinical information—such as diagnostic studies, digital images, and progress notes—across organizations.
</t>
  </si>
  <si>
    <t>Epic, interested hospitals, independent primary care practices, FQHCs, Bi-State, VAHHS, VMS</t>
  </si>
  <si>
    <t>Year 1:
Fully enable all EpicCare Link functionality:  2 FTEs/6mos (2*($150/hr * 1040) = $312K
Deploy virtual care technology into every acute care room, OR and 1-2 ambulatory practice exam rooms across the state/region.  Estimate 1442 units (1-time cost $2500/per)  $3.6M
Annual OpEx:  
$3.2M</t>
  </si>
  <si>
    <t>Measurement methodology will be explored more deeply in the next phase.</t>
  </si>
  <si>
    <t>ongoing, multi-year</t>
  </si>
  <si>
    <t>Dillon/Boisjoli/Godaire</t>
  </si>
  <si>
    <t xml:space="preserve">Grow and sustain Vermont's EMS workforce via the UVM Health EMS Training Center and Paramedic Program. </t>
  </si>
  <si>
    <t xml:space="preserve">1. Continue offering a range of financial supports and options to students through the existing UVM Health Paramedic Program, including leveraging available grant funds, scholarships, and connecting students with lenders.
2. Incorporate “full funding/no tuition” and "partial funding" models/mechanisms for Vermont program participants as part of an expanded conditional financial assistance program.
3. Leverage UVM Health’s employment of paramedics in multiple care settings to strengthen workforce development pipeline efforts.
4. Use this approach to support career advancement and employee retention while aligning with AHS’ stated goals around the in-state service obligation model.
5. Administer the conditional financial assistance program through the Paramedic Program administration.
6. Transfer post-graduation tracking of compliance with the service obligation to either the appropriate UVM Health department (for internally employed graduates) or the student’s primary affiliated EMS agency.
7. Evaluate payment reform options for EMS to promote sustainability and workforce retention. </t>
  </si>
  <si>
    <t>UVM Health clinical departments/teams that use paramedics; UVM Health's Workforce Development program; VT EMS agencies; VT Technical High Schools/Career Centers</t>
  </si>
  <si>
    <t xml:space="preserve">As of 2026, we are launching a second VT-based site for our Paramedic Program at the Central VT Career Center, which will facilitate a future pipeline/pathway for engaging high school students in a career track to paramedicine.  </t>
  </si>
  <si>
    <t>Student course enrollments, student course completions, graduate job placements.  See also here:  https://www.uvmhealth.org/medical-education-training/paramedic-education-program/about-our-program</t>
  </si>
  <si>
    <t>New Cohort of 18 VT-based students begins 1/15/26 and ends Jan 2027.  The subsequent next Paramedic cohort enrolls inDec. 2026.</t>
  </si>
  <si>
    <t>ongoing/open ended program</t>
  </si>
  <si>
    <t>Leyden</t>
  </si>
  <si>
    <t xml:space="preserve">The EMS Training Center and Paramedic Program operate based on a mix of grant funds and traditional student tuition.  Growth of the program, by regional coverage and participant volumes, is predicated on the removal of cost as a barrier to student entry.  </t>
  </si>
  <si>
    <t>Partner statewide to establish a formal health care workforce employer collaborative that leverages shared resources and best practices to develop innovative nursing and technical education models.</t>
  </si>
  <si>
    <t xml:space="preserve">1.	Establish a statewide health care workforce employer collaborative by securing funding, defining governance, and aligning on a shared mission.
2.	Hire dedicated staff to manage and operate the collaborative. Leverage existing groundwork laid by Mary Anne Sheahan and 2025 employer WFD summit in Rutland. 
3.	Compile a diverse board and committees comprised of leaders and stakeholders from multiple health care  systems and employers.
4.	Develop resources to convene employers for feedback and goal-setting, including conferences, working groups, and shared planning forums.
5.	Engage all 54 Vermont health care  employers and maintain active participation.
6.	Conduct assessments on critical talent and education shortage areas, including Nursing, Radiology, Respiratory Therapy, Laboratory Science, and Surgical Technology.
7.	Engage and solicit proposals from colleges and educational partners that offer flexible, affordable, and accessible programs aligned with collaborative goals.
8.	Pilot programs by marketing, recruiting, and enrolling students, ensuring agreed-upon cohort sizes for each employer.
9.	Create shared training spaces, including classrooms, skills labs, telepresence capabilities, and shared clinical instruction staff.
10.	Provide grant sub-awards to collaborative employer partners for tuition, books, fees, clinical instruction, and/or study stipends.
11.	Establish data collection and reporting systems to measure program outcomes, workforce impact, and return on investment.
12.	Create a long-term sustainability plan to maintain the collaborative statewide through grant funding, employer cost-sharing, state dollars, and affiliation with larger funding collaboratives (e.g., National Fund for Workforce Solutions).
</t>
  </si>
  <si>
    <t xml:space="preserve">Stakeholders Include:
- Mary Anne Sheahan
- VT Health care System Leaders
- VT Health care System SMEs (nursing, respiratory, etc.)
- UVMH Leaders/SMEs
- Select Colleges/Educators
- UVMH Workforce Development
- UVMH Depts (Legal, Grants, Payroll, IT, etc) to Establish/Support Entity
</t>
  </si>
  <si>
    <t xml:space="preserve">2022: Vermont Business Roundtable  and Mary Anne Sheahan launched a health care  workforce collaborative with federal funding.
- Initial focus: Build a scalable nursing apprenticeship model.
- Recent progress: Convened 100+ health care  workforce leaders for an inaugural statewide summit.
- Outcomes: Identified shared talent gaps and opportunities for new academic partners.
Since 2024, conversations have been occuring between leaders at VT WFD Board, AHEC, VT POC, VBR, AHS WFD DIrector, VDOL, Vermont Futures Project, UVMH on creating a statewide employer workforce collaborative, and exploring funding collaborative formation (e.g., National Fund).
</t>
  </si>
  <si>
    <r>
      <rPr>
        <sz val="18"/>
        <color theme="1"/>
        <rFont val="Calibri"/>
        <family val="2"/>
      </rPr>
      <t xml:space="preserve">Establishing the statewide health care collaborative is estimated at </t>
    </r>
    <r>
      <rPr>
        <b/>
        <sz val="18"/>
        <color theme="1"/>
        <rFont val="Calibri"/>
        <family val="2"/>
      </rPr>
      <t xml:space="preserve">$1.8M–$2.3M. 
</t>
    </r>
    <r>
      <rPr>
        <sz val="18"/>
        <color theme="1"/>
        <rFont val="Calibri"/>
        <family val="2"/>
      </rPr>
      <t>Newly developed education programs could range from</t>
    </r>
    <r>
      <rPr>
        <b/>
        <sz val="18"/>
        <color theme="1"/>
        <rFont val="Calibri"/>
        <family val="2"/>
      </rPr>
      <t xml:space="preserve"> $5M–$25M,</t>
    </r>
    <r>
      <rPr>
        <sz val="18"/>
        <color theme="1"/>
        <rFont val="Calibri"/>
        <family val="2"/>
      </rPr>
      <t xml:space="preserve"> depending on specialty, level of tuition support, number of learners, and related factors.</t>
    </r>
  </si>
  <si>
    <t>The health care collaborative will:
- Leverage economies of scale to create, scale, and sustain workforce development programs. 
- Greatly reduce duplication of efforts by reducing the creation of disparate programs that are not sustainable in the long term. 
- Pilot new educational programs that are affordable, inaccessible, and decrease cost expenditures on tuition. 
- Create skilled talent from our population to reduce costly expenditures on a contingent workforce (travelers).</t>
  </si>
  <si>
    <t>Baake</t>
  </si>
  <si>
    <t xml:space="preserve">Sustainability plan will be developed in the next phase.
</t>
  </si>
  <si>
    <t xml:space="preserve">This initiative is designed with a flexible, scalable model. Program size, participant capacity, and the breadth of offerings can be expanded or contracted based on available funding and identified workforce needs.
</t>
  </si>
  <si>
    <t>Advance the development of a statewide simulation and training partnership that includes a central simulation lab, regional simulation sites, a mobile unit, and shared training resources to expand specialty clinical education capacity, extend internal training programs to Vermont hospitals and providers, and strengthen workforce readiness.</t>
  </si>
  <si>
    <t xml:space="preserve">1.	Conduct a comprehensive needs assessment of specialty clinical rotation capacity, including data on students turned away, delayed, spending significant portions of clinical time shadowing, or seeking out-of-state placements.
2.	Convene a collaborative advisory group to guide program design, employer participation, and statewide alignment. Explore with state and regulatory officials to form a statewide simulation committee to guide and oversee simulation regulation for health care  and academia. 
3.	Identify and repurpose unused space and retrofit a retired ambulance to create state-of-the-art simulation and training centers and mobile units, reducing reliance on specialty areas only offered at academic or tertiary care centers.
4.	Leverage simulation as an approved substitute for clinical instruction to increase capacity and prevent turning students away due to limited placement opportunities statewide and continue to attract students to pursue specialty career areas.
5.	Design spaces to support new training programs previously unavailable in the region, enabling education in high-demand fields.
6.	Purchase and install high-fidelity simulation equipment, furnishings, fixtures, and software licenses to replicate real-world clinical environments.
7.	Acquire training equipment, IT infrastructure, and workstations to support program delivery, scalability, and remote connectivity for instructors and learners.
8.	Hire or designate certified simulation staff and subject matter experts to manage operations, deliver training, and maintain quality standards.
9.	Pursue accreditation for the simulation lab(s) to ensure compliance with national standards and enhance credibility.
10.	Establish shared governance and sustainability plans, including future funding strategies and continuous improvement processes for long-term viability.
11.	Expand existing and create new workforce training and education programs (e.g., Nurse Aide, Phlebotomy, Radiology, Surgical Technologist, Sterile Processing, Rural health care  Leadership) statewide through in-person and virtual delivery, including support for onsite clinical skill leads and integration of virtual testing where allowable.
12.	Implement a statewide clinical placement and tracking platform to improve visibility, coordination, and equitable distribution of clinical rotations across Vermont.
</t>
  </si>
  <si>
    <t xml:space="preserve">Stakeholders Include:
- UVMH Educators/Clinical Instructors in specialty areas
- Nursing Leadership
- UVMH Workforce Development leadership
- VT Colleges (UVM, Norwich, VTSU, etc.)
- Apprenticeship Intermediary (JobForward)
- UVMH Trainign Program Leaders (LNA, etc.)
- VT health care  System Leaders
- VT health care  System SMEs (nursing, respiratory, etc.)
- State Board of Nursing (for possible state committee formation)
- UVMH Workforce Development
- UVMH IT/Facilities/Real Estate
</t>
  </si>
  <si>
    <t xml:space="preserve">Colleges and universities have been made aware we are currently at capacity for specialty clinical rotations and may/will need to turn students away. 
- All efforts are being made to accomdate clinical students off hours, weekends, in a flexible formats, and in creative ways. 
- Simulation is also being used where available but offerings are limited across the state. </t>
  </si>
  <si>
    <r>
      <rPr>
        <sz val="18"/>
        <color rgb="FF000000"/>
        <rFont val="Calibri"/>
        <family val="2"/>
      </rPr>
      <t xml:space="preserve">Establishing collaborative simulation and training units/services is estimated at </t>
    </r>
    <r>
      <rPr>
        <b/>
        <sz val="18"/>
        <color rgb="FF000000"/>
        <rFont val="Calibri"/>
        <family val="2"/>
      </rPr>
      <t>$5M - $14.5M</t>
    </r>
    <r>
      <rPr>
        <sz val="18"/>
        <color rgb="FF000000"/>
        <rFont val="Calibri"/>
        <family val="2"/>
      </rPr>
      <t xml:space="preserve"> depending on size, scope, number of students served, and number of programs offered </t>
    </r>
  </si>
  <si>
    <t>The simulation and training labs will:
- Decrease clinical students being turned away for speciality clinical rotations, allowing more students to enter into and complete local educational programs.
- Prevent more students in getting substandard clinical experiences or needing to go out-of-state for speciality clinical rotations.  
- Provide higher‑quality clinical instruction to more students to ensure stronger knowledge, skillsets, and overall quality of care.
- Extend clinical instruction opportunities only offered within an academic medical/tertiary care center.  
- Create and scale education programs and apprenticeships that all health care  employers can access.
- Reduce duplication of efforts by reducing the creation of disparate programs that are not sustainable in the long term. 
- Pilot new educational programs that are affordable and decrease cost expenditures on tuition. 
- Create skilled talent from our population to reduce costly expenditures on a contigent workforce (travelers).</t>
  </si>
  <si>
    <t>This initiative is designed with a flexible, scalable model. Program size, participant capacity, and the breadth of offerings can be expanded or contracted based on available funding and identified workforce needs.</t>
  </si>
  <si>
    <t xml:space="preserve">Support implemention of a statewide unified EMR (Epic) across all Vermont hospitals.
</t>
  </si>
  <si>
    <t xml:space="preserve">1. Designate an internal lead to engage with AHS and partners.
2. Collaborate with AHS to identify and invite key stakeholders to form a coalition of hospitals and practices interested in moving to a unified EMR. Provide input on guiding principles and governance structure. Offer Epic-specific insights during coalition charter development, including pros and cons of different operational and technical architectures.  
3. As requested, serve as a subject matter expert to AHS to help draft RFP requirements for a vendor engagement focused on scoping what it will take to expand Epic access statewide. The vendor will assess options such as extending UVM Health’s Epic instance or leveraging Epic through another model. Participate in vendor interviews and selection as invited, and ensure the scope includes technical architecture, migration pathways, and comprehensive cost modeling.  
4. Provide documentation and lessons learned from UVM Health’s Epic implementation. Advise on governance, workflow standardization and interoperability considerations to all models considered.
5. Collaborate with vendor to validate cost assumptions and operational impacts. Model scenarios for extending Epic to additional hospitals and practices. 
6. Provide recommendations for a decision-ready roadmap with vendor and AHS. Ensure roadmap includes governance, phased implementation, and investment strategy. Present roadmap to coalition and leadership for endorsement.
7. During build and implementation phase, provide expert content knowledge and partnership to ensure optimal architecture, go-live support and post go-live stability.
8. Partner to create a seamless Epic user experience for both patients and providers. </t>
  </si>
  <si>
    <t>UVM Health has participated in multiple conversations with AHS to provide feedback and guidance on leveraging Epic, either through our instance or another model, for other institutions. In addition, UVM Health has served in an advisory capacity for organizations such as Community Health Centers of Burlington and North Country by helping to scope the financial and operational considerations involved in transitioning to Epic, providing a site visit to see Epic in full operation and by participating in shared conversations with the vendor partner selected.</t>
  </si>
  <si>
    <t>Recommendation is for AHS to engage with  an external vendor in partnership with UVM Health and interested parties to build a financial estimate for a unified Epic EMR total cost of ownership and return on investment. 
Year 1:  
External Vendor: Connect Model and Readiness ($200/hr * 1100 = $220K) 
External Vendor:  Infrastructure Gap Analysis ($150/hr *520) = $78K)
Using Wave 2 (CVMC and PMC) and Wave 3 (ECH, CVPH, AHMS) actuals for a range: 
-  Capital:  $7.1M - $41M
-  Operating:  $12.2M - $32M</t>
  </si>
  <si>
    <r>
      <rPr>
        <b/>
        <sz val="18"/>
        <color rgb="FF000000"/>
        <rFont val="Calibri"/>
        <family val="2"/>
      </rPr>
      <t xml:space="preserve">Internal Readiness - </t>
    </r>
    <r>
      <rPr>
        <sz val="18"/>
        <color rgb="FF000000"/>
        <rFont val="Calibri"/>
        <family val="2"/>
      </rPr>
      <t xml:space="preserve">Project lead designated and active in Q1.
</t>
    </r>
    <r>
      <rPr>
        <b/>
        <sz val="18"/>
        <color rgb="FF000000"/>
        <rFont val="Calibri"/>
        <family val="2"/>
      </rPr>
      <t xml:space="preserve">Coalition Contribution - </t>
    </r>
    <r>
      <rPr>
        <sz val="18"/>
        <color rgb="FF000000"/>
        <rFont val="Calibri"/>
        <family val="2"/>
      </rPr>
      <t xml:space="preserve">Participate in coalition meetings as invited; provide input on guiding principles and governance; share Epic insights during charter discussions. Engage Epic Systems as needed.
</t>
    </r>
    <r>
      <rPr>
        <b/>
        <sz val="18"/>
        <color rgb="FF000000"/>
        <rFont val="Calibri"/>
        <family val="2"/>
      </rPr>
      <t xml:space="preserve">Vendor Engagement Support - </t>
    </r>
    <r>
      <rPr>
        <sz val="18"/>
        <color rgb="FF000000"/>
        <rFont val="Calibri"/>
        <family val="2"/>
      </rPr>
      <t xml:space="preserve">Offer input on RFP requirements and vendor scope; join interviews if requested; confirm scope includes architecture, migration, and cost modeling.
</t>
    </r>
    <r>
      <rPr>
        <b/>
        <sz val="18"/>
        <color rgb="FF000000"/>
        <rFont val="Calibri"/>
        <family val="2"/>
      </rPr>
      <t xml:space="preserve">Knowledge Sharing - </t>
    </r>
    <r>
      <rPr>
        <sz val="18"/>
        <color rgb="FF000000"/>
        <rFont val="Calibri"/>
        <family val="2"/>
      </rPr>
      <t xml:space="preserve">Deliver Epic lessons learned document; host at least one technical briefing or Q&amp;A.
</t>
    </r>
    <r>
      <rPr>
        <b/>
        <sz val="18"/>
        <color rgb="FF000000"/>
        <rFont val="Calibri"/>
        <family val="2"/>
      </rPr>
      <t xml:space="preserve">Financial &amp; Operational Input - </t>
    </r>
    <r>
      <rPr>
        <sz val="18"/>
        <color rgb="FF000000"/>
        <rFont val="Calibri"/>
        <family val="2"/>
      </rPr>
      <t xml:space="preserve">Review vendor assumptions and provide feedback on cost and operational impacts.
</t>
    </r>
    <r>
      <rPr>
        <b/>
        <sz val="18"/>
        <color rgb="FF000000"/>
        <rFont val="Calibri"/>
        <family val="2"/>
      </rPr>
      <t xml:space="preserve">Roadmap Contribution - </t>
    </r>
    <r>
      <rPr>
        <sz val="18"/>
        <color rgb="FF000000"/>
        <rFont val="Calibri"/>
        <family val="2"/>
      </rPr>
      <t>Submit recommendations for roadmap; participate in review and endorsement discussions as requested.</t>
    </r>
  </si>
  <si>
    <t xml:space="preserve">This would be a multiyear project and completion date depends on the number of partner hospitals that would like to adopt a unified EMR. </t>
  </si>
  <si>
    <t>Boisjoli</t>
  </si>
  <si>
    <t>If Vermont moves forward with a unified EMR, long-term sustainability will require a shared governance model, cost-sharing framework, and operational support structure. These elements will be explored in later phases once statewide interest and feasibility are confirmed.</t>
  </si>
  <si>
    <t>Achieve full EHR standardization across all four skilled nursing centers within 24 months, and establish interoperability with UVM Health Network’s EPIC platform by year three to enable seamless care coordination, data exchange, and system-wide analytics.</t>
  </si>
  <si>
    <t>1. Partner with IT to establish governance and project oversight structure.
2. Select and approve a standardized EHR platform.
3. Develop technical roadmap for migration and EPIC integration.
4. Secure funding and finalize vendor contracts.
5.Plan and execute data migration strategy.
6. Train staff across all centers on the new EHR.
7. Pilot implementation at one center and refine workflows.
8. Roll out EHR to remaining centers in phases.
9. Enable EPIC interoperability.
10. Monitor adoption, optimize workflows, and ensure compliance.</t>
  </si>
  <si>
    <t>SNFs, UVM Health IT, UVM Health Revenue Cycle</t>
  </si>
  <si>
    <t>This is an ongoing topic of conversation with SNFs and Continuing Care leadership. This is a well-known need and a priority activity with strong buy in.</t>
  </si>
  <si>
    <t xml:space="preserve"> % of centers live on unified EHR
 EPIC integration live by Year 3; % of transitions documented electronically
 Error rate in migrated records (&lt;1%)
 95% staff trained and actively using system within 3 months of go-live
 ≥30% reduction in duplicate documentation; ≥20% faster admission documentation
 Increase in closed-loop referrals and shared care plans with UVMH
100% adherence to HIPAA and cybersecurity standards</t>
  </si>
  <si>
    <t>Werneke</t>
  </si>
  <si>
    <t>Launch and operationalize one medical respite site serving high-need Vermonters that measurably reduces ED revisits and all-cause readmissions while improving quality of life, transitions to ongoing care and housing.</t>
  </si>
  <si>
    <t>1. Select and secure one site for medical respite (location, lease, facility readiness).
2. Develop clinical protocols for admission, discharge, medication management, wound care, and MH/SUD screening.
3. Connect technology infrastructure (telehealth, e-Consult, closed-loop referral system, VHIE integration).
4. Hire and train staff (program coordinator, case manager, resource coordinators, etc).
5. Complete minor renovations and equipment purchases for infection control, accessibility, and clinical functionality.
6. Formalize housing and social care partnerships (MOUs with partners, housing, transportation vendors).
7. Embed home health and PCP follow-up (auto-schedule visits, remote patient monitoring for step-down care).
8. Implement financing and documentation workflows (billing, grant reporting, sustainability planning).
9. Evaluate outcomes and equity (ED use, readmissions, follow-up rates, housing connections).
10. Develop roadmap for replication (document lessons learned, create playbook for future hubs).</t>
  </si>
  <si>
    <t>Housing Partners, Housing/homeless service providers, AHS, municipality where facility is located, EMS/Community Medicine, Designated Agencies</t>
  </si>
  <si>
    <t xml:space="preserve">AHS is well-versed in our existing Medical Respite pilot as this was initially funded through ARPA HCBS Innovation grants. HHH remains actively engaged with AHS to explore expansion and sustainability for this programming. </t>
  </si>
  <si>
    <t xml:space="preserve">$5-8 million (largely capital and one-time expenses). Working to dial in budget currently. </t>
  </si>
  <si>
    <t>Preliminary converations with UVMH facilities.</t>
  </si>
  <si>
    <t>Medical respite programs prevent individuals experiencing homelessness from unnecessary ED use/hospitalizations.</t>
  </si>
  <si>
    <t>Average length of stay in respite.
Percent of patients with successful PCP follow-up within 7–14 days of discharge.
Percent of patients connected to housing or recovery supports at discharge.
Reduction in ED visits per patient within 30 days post-respite.
Patient-reported outcomes (symptom control, satisfaction, perceived safety).</t>
  </si>
  <si>
    <t xml:space="preserve">CMS granted Vermont Medicaid authority to use Medicaid funding to pay for up to 6 months of medical respite for eligible beneficiaries. We plan to align our program with what is outlined in Vermont's Medicaid 1115 Waiver to ensure we can leverage those funds to support sustainability. </t>
  </si>
  <si>
    <t>Expand Vermont’s home health and hospice capacity by 50% over the next three years through strategic investments in workforce, technology, and care delivery models, while strengthening integration with primary care and community-based services to ensure equitable access and long-term sustainability of the rural health care continuum.</t>
  </si>
  <si>
    <t>1. Conduct capacity gap analysis and define baseline metrics.
2. Develop phased expansion plan for staffing, technology, and service areas.
3. Recruit and train workforce using RHTP workforce development funds.
4. Increase use of telehealth and RPM for chronic disease monitoring.
5. Leverage recent Epic Implementation at HHH and integrate closed-loop referral system for seamless coordination.
6. Establish mobile outreach capability for rural and high-need areas.
7. Create partnerships with hospitals and FQHCs for streamlined referrals.
8. Embed palliative care consults into home health workflows.
9. Monitor key metrics: admissions, timeliness, readmissions, patient satisfaction.
10.Develop sustainability plan leveraging value-based payment models.</t>
  </si>
  <si>
    <t>Internal to HHH, workforce development</t>
  </si>
  <si>
    <t>Increased capacity for care delivery in home settings means decreased utilization of higher, more costly levels of care.</t>
  </si>
  <si>
    <t>Admissions growth: baseline vs. target (50% increase).
Start-of-care timeliness: % within 48 hours (home health) and 24 hours (hospice).
Reduction in avoidable hospitalizations/readmissions.
RPM utilization and outcomes (BP control, CHF weight monitoring).
Patient and caregiver satisfaction scores.</t>
  </si>
  <si>
    <t>Improve access to high-acuity services for long-term care residents by establishing on-site dialysis capability and adding a second ventilator unit within Vermont’s skilled nursing network by 2028, reducing hospital transfers and supporting continuity of care for medically complex patients.</t>
  </si>
  <si>
    <t xml:space="preserve">1. Assess current capacity and identify SNFs for dialysis and ventilator expansion.
2. Develop business plan for on-site or mobile dialysis units.
3. Secure funding and vendor contracts for dialysis and ventilator equipment.
4. Upgrade facility infrastructure for installation and compliance.
5. Train staff on dialysis and ventilator care protocols.
6. Implement dialysis service at selected SNF and validate workflows.
7. Install second ventilator unit and integrate into clinical operations.
8. Establish referral pathways with hospitals for high-acuity patients.
9. Launch pilot and monitor utilization and outcomes.
10. Collect patient and cost data to evaluate impact on hospital transfers.
</t>
  </si>
  <si>
    <t>UVMH, SNFs</t>
  </si>
  <si>
    <t>This would be part of the initial exploration.</t>
  </si>
  <si>
    <t>Number of SNFs offering on-site dialysis
Second ventilator unit installed and operational
# of patients receiving dialysis or ventilator support in SNFs (baseline vs. post-implementation)
Reduction in transfers for dialysis or ventilator needs
Average wait time for dialysis initiation in SNF 
% of trained staff certified for dialysis/ventilator care 
Stability indicators (e.g., fewer missed treatments, improved continuity of care)
Estimated savings from avoided hospitalizations</t>
  </si>
  <si>
    <t>UVM Health will sustain and expand its commitment to expense reduction and cost containment, building on two years of demonstrated progress.</t>
  </si>
  <si>
    <t>Southwest</t>
  </si>
  <si>
    <t>Increased recruitment and retention to reduce contract labor utilization (FY23–FY25) - $30M
Administrative shared‑service cost reductions as a percentage of total cost (FY23–FY25) - $32M
Supply chain cost reductions (FY24–FY25) - $40M
System drug formulary cost savings (FY24–FY25) - $10M
Health plan reductions, including plan design changes and administrative cost reductions (FY25) - $10M
Leadership efficiencies (FY25) - $15M
Space consolidations to reduce facility‑related expenses (FY24–FY25) - $2M
Reduction in length of stay at UVMMC, CVMC, and PMC (FY23–FY25) - $30M
Collaborate with other health care providers to shift care to lower‑cost sites of service (FY24–FY25) - $15M
Total expense reduction (FY23-FY25): $184M</t>
  </si>
  <si>
    <t>Leffler</t>
  </si>
  <si>
    <t>SVMC</t>
  </si>
  <si>
    <t>Contract with Lean process improvement professionals and embed them in hospitals to drive operational process streamlining and sludge removal thereby reducing hospital operating expenses and allowing hospitals to be sustainable with less revenue without reducing the services offered or care quality</t>
  </si>
  <si>
    <t xml:space="preserve">State to: 1. Explore vendors for Healthcare specific Lean process improvement professionals, 2. Contract with a vendor, 3. Deploy Lean professionals to hospitals, 4. Identify process opportunities to Lean, 5. Fund implement of solutions that streamline operations </t>
  </si>
  <si>
    <t>Create a series of videos, locations, and in-person supports that help Vermonters discuss end-of-life care and complete/update advanced directives thereby decrease undercompensate care utilization and reduce the cost shift to commercial insurance and Vermonters with commercial insurance.</t>
  </si>
  <si>
    <t>State to: 1. Solicit proposals for funding to launch pilots aimed at reducing end-of-life care, 2. Develop standardized method to measure impact of interventions, 3. Launch pilots, 4. Expand and translate successful pilots across the state.</t>
  </si>
  <si>
    <t>Decrease unnecessary utilization of acute care services by high utilizers by focused case management and innovative delivery of wrap-around services that address the non-medical socioeconomic underpinning of high utilization</t>
  </si>
  <si>
    <t xml:space="preserve">State to: 1. Increase funding for case management focused on high utilizers, 2. Identify common socioeconomic underpinnings of high utilization, 3. Develop innovative programs to address the socioeconomic underpinning of high utilization, 4. Monitor whether interventions decrease unnecessary utilization </t>
  </si>
  <si>
    <t>Decrease unnecessary stay days/time on inpatient units and in the emergency department by addressing the most common causes of excessive length of stay including expediting custodial assignments and creating innovative residential options</t>
  </si>
  <si>
    <t>State to: 1. Hold focus group to identify common causes of excessive acute care length of stay, 2. Develop innovative solutions for the common causes, 3. Quickly implement pilot programs that deliver the innovative solutions, 4. Monitor whether the innovative solutions decrease excessive lengths of stay</t>
  </si>
  <si>
    <t xml:space="preserve">Identify 1 or 2 clinical programs that are not sensible at the hospital service area level yet make sense as a regional service </t>
  </si>
  <si>
    <t>1. Continue discussions between SVMC and RRMC to select services to explore further (initial considerations include Allergy, ENT, Pain care, ERCP, Mental health, Alcohol detox, Podiatry, Sleep), 2. Analyze claims and patient migration data to inform selection of the specific clinical service and clinic program development, 3. Create an implementation plan to launch 1-2 specific regional clinical services</t>
  </si>
  <si>
    <t xml:space="preserve">Identify 1 or 2 clinical support programs that regionalization would reduce the hospitals' operating expenses. </t>
  </si>
  <si>
    <t>1. Continue discussions between SVMC and RRMC to select support services to explore further (initial considerations night tele-pharmacy, regional biomed services), 2. Analyze service deliverables, quality, and contracting to inform selection of the specific support service , 3. Create an implementation plan to launch 1-2 regional support services</t>
  </si>
  <si>
    <t>To be determined opportunity with RRMC</t>
  </si>
  <si>
    <t>Address two chronically problematic patient transport challenges   a. Non-acute patient transport to care that reduces unnecessary acute care utilization.     b. Interfacility transport to expeditiously move patients to high levels of care or out of expensive acute care settings</t>
  </si>
  <si>
    <t>EMS squads</t>
  </si>
  <si>
    <t>Many meetings</t>
  </si>
  <si>
    <t>SVMC is investing $220,000 annually now. A more comprehensive solution would likely require more than $2M</t>
  </si>
  <si>
    <t>Reduction in operating expenses and unnecessary utilization</t>
  </si>
  <si>
    <t>Yes, reduction in acute care staff</t>
  </si>
  <si>
    <t>Launch an inpatient mental health unit for adolescents to increase care access and coordination that decreases unnecessary medical care utilization and healthcare spending</t>
  </si>
  <si>
    <t>In process of being implemented</t>
  </si>
  <si>
    <t>$10M for facility, $1M to ramp up operations</t>
  </si>
  <si>
    <t>Launch RN Bridge to Primary Care program to increase access to primary care, repatriate care, and reduce unnecessary care</t>
  </si>
  <si>
    <t>Pilot supported through transformation funds in-process</t>
  </si>
  <si>
    <t>$180K for pilot</t>
  </si>
  <si>
    <t>Reduce unnecessary utilization of inpatient resources and decrease expenses by leveraging evidence-based tools, post-acute care alliances and Blueprint case managers</t>
  </si>
  <si>
    <t>Mt. Ascutney</t>
  </si>
  <si>
    <t>Identify strategies, partners (internal &amp; external), resources, and timeline to establish an Age Friendly Program (Center of Excellence) focusing on geriatric care needs such as: fall risk assessment, pharmaceutical review, mental health, advanced care planning, etc. identified through analyzing the target population’s needs.</t>
  </si>
  <si>
    <t>1. Assess present resources in the community available to our geriatric community members; 2. Work with the Community Health Team to improve connections with the available resources; 3. Create pathways to connect elderly community members to those resources; 4. work to assure gaps in resources are filled</t>
  </si>
  <si>
    <t xml:space="preserve">Patients, providers, community resource centers, pharmacists, mental health providers, VNA, town nurse
</t>
  </si>
  <si>
    <t>1. Formed Senior Leadership Working group; 
2. Re-established Internal Stakeholder group with added membership; 3.Expanded External Stakeholder Group</t>
  </si>
  <si>
    <t>TBD .  We plan to assess reduction in ED visits for Geriatric Population.   Consider also reviewing admissions and readmissions of geriatric patients related to access to services at home. With improved advanced care planning, we should see a reduction in inpatient mortality, inpatient and ED utilization for end-of-life care.</t>
  </si>
  <si>
    <t>Metrics on CHT referrals for the Geriatric Population,  Identification of Resource needs, Access to resources and Collarborative interactions</t>
  </si>
  <si>
    <t>Needham-Shropshire/Worth</t>
  </si>
  <si>
    <r>
      <t xml:space="preserve">This is augmenting the work of the CHT group which has been established and reinvigorated this Fall. Additionally, the Senior Leadership Team has committed to successful implemetation of becoming an Age Friendly Organization as part of our Strategic Plan. </t>
    </r>
    <r>
      <rPr>
        <b/>
        <sz val="14"/>
        <rFont val="Aptos Narrow"/>
        <scheme val="minor"/>
      </rPr>
      <t>Presently, Mt Ascutney subsidizes a CHT member who works at the Thompson Senior Center  at the cost of 50K/yr for three year project.</t>
    </r>
  </si>
  <si>
    <t xml:space="preserve">We do not see direct work force implications though we do propose establishing a Project Manager for the commencement of this project. </t>
  </si>
  <si>
    <t xml:space="preserve">We went live with a new electronic medical record in October of 2025 which has disrupted some of our data collection. To address this reality we are  establishing our baseline metrics for the program from the Months of 1/1 2025-10/1/2025. </t>
  </si>
  <si>
    <t>Will work with Southeast regional area to improve access to hospice and palliative care</t>
  </si>
  <si>
    <t>1. Review with the southeast region hospitals the present state of hospice and palliative care and availability in their local communities; 2. Look for potential options for sharing hospice and palliative care trained clinicians for the region; 3. Identify ways to provide acces to hospice and palliative care in the outpatient setting rather than just inpatient setting</t>
  </si>
  <si>
    <t>Community members, primary care providers, hospitals</t>
  </si>
  <si>
    <t>Average days from referral to first specialty contact
Number/percentage of referrals closed within 90 days
Utilization of tele-specialty or shared staffing sessions</t>
  </si>
  <si>
    <t>Improve access to care for primary care with aim to privde a primary care provider for all who request this</t>
  </si>
  <si>
    <t xml:space="preserve">Review present primary care linical practice model to assess for improved timeliness of scheduling, open access scheduling such as exploring self scheduling and innovative ways to support advanced primary care (aka team based approach with social work, community health navigators, dietician, nursing, wellness and provider).   </t>
  </si>
  <si>
    <t xml:space="preserve">Hospital, Primary care providers, community health team, </t>
  </si>
  <si>
    <t>we will review process of scheduling, patient panels and support staffing and share findings.  We will also work with primary care providers and support teams to look atopprtunities to have patient access without adding excess burden to present staff</t>
  </si>
  <si>
    <t>With more efficient care and scheduling methods, we will be able to reduce staffing in some areas.  With improved, wrap around care, patient health concerns will be managed consistentantly, thus leading to reduced emergent care and hospitalization</t>
  </si>
  <si>
    <t>Length of wait list for a new PCP; wait time to be assigned a PCP; # visits to the ED for medical conditions that are not well-controlled</t>
  </si>
  <si>
    <t>Schneider</t>
  </si>
  <si>
    <t>With renovation of the primary care practice and improved team work with CHT, health assistants, etc, this model should be self-sustainable if appropriate reimbursement for care provided</t>
  </si>
  <si>
    <t>Yes.  Addition of dietician and health navigators</t>
  </si>
  <si>
    <r>
      <t xml:space="preserve">Barriers include: recruitment of the health supporters including dietician and weight and wellness as well as access to a local pharmacy.  There is minimal access to these types of providers in the area.  Mt Ascutney presently subsidizes a pharmacy in the OHC building.  This started when the only pharmacy in Woodstock closed.  </t>
    </r>
    <r>
      <rPr>
        <b/>
        <sz val="18"/>
        <color rgb="FF000000"/>
        <rFont val="Aptos Narrow"/>
        <scheme val="minor"/>
      </rPr>
      <t>Subsidizing this pharmacy allows for people in the community to have local access to medications.</t>
    </r>
    <r>
      <rPr>
        <sz val="14"/>
        <color rgb="FF000000"/>
        <rFont val="Aptos Narrow"/>
        <scheme val="minor"/>
      </rPr>
      <t xml:space="preserve"> Windsor lost its local pharmacy in 2025.</t>
    </r>
  </si>
  <si>
    <t>Incorporate the Collaborative Care Model for mental health and substance use disorder into primary acre</t>
  </si>
  <si>
    <t>1. Met with the psychiatry team from DHMC to discuss opportunities for broadening mental health and substance use disorder treatment in our primary care space; 2. Determine how the collabortive care model for pyschiatry will fit with our present resources to expand care; 3. Understand costs of additional services without adding excessive cost to the primary care budget; 3. Look for ways to decrease cost to provide adequate mental health and SUD care.</t>
  </si>
  <si>
    <t xml:space="preserve">Patients, primary care providers, nursing, CHT, emergency medicine providers, behavioral health providers, pfychiatrists
</t>
  </si>
  <si>
    <t>Primary Care providers have met with the CoCM team to discuss the collaborative care model and there is  a Kick Off meeing scheduled for end of January with the CoCM team, MAH and VRH.  Kick off meeting occurred 1/29/2026</t>
  </si>
  <si>
    <t>Reduced number of employees in this service.  The clinicians will be employed by DHMC.  Mt Ascutney will share in the cost as opposed to supporting the entire cost.</t>
  </si>
  <si>
    <t>The CoCM measures patient outcomes which we are not able to do alone.  These outcomes include reduction in depression screening scores, improvement in symptoms.  Improved patient outcomes should reduce ED visits and hospitalizations.</t>
  </si>
  <si>
    <t>Initiate the project in February 2026. Go live in October, 2026</t>
  </si>
  <si>
    <t>March, 2027</t>
  </si>
  <si>
    <t>Schneider/Bianchi</t>
  </si>
  <si>
    <t xml:space="preserve">With incorporation of the collaborative care model for pyschiatry, behavioral health and substance use care, we will have a stable resource for our patients without concern for recruitment.  The service will be managed by DH pyschiatry department.  The DH system is dedicated to providing sustainable care throughout the system  </t>
  </si>
  <si>
    <t>Yes.  Addition or change in the behavioral health providers as well as maintenance of one psychiatrist and adjustment of another psychiatrists schedule</t>
  </si>
  <si>
    <t>There is concern that the change in the mental health practice model will adverely affect present pyschiatry staff.  This staff have support of the primary care providers.  Providers are concerned that they will lose a valuable assest</t>
  </si>
  <si>
    <t>Ensure access to community-based emergent and urgent general surgical care</t>
  </si>
  <si>
    <t>1. Work with Academic Medical Center(s) to decrease transfer of patients with surgical needs outside of the area due to lack of beds available at the medical centers; 2. Work with community hospitals and medical centers to assure adequate gerneral surgeon workforce to provide surgical care at the community hospitals; 3. work with community hospitals to improve ability to accept emergent and urgent surgical patients on a rotating basis; 4. Work with medical center care coordination centers to transfer patients to the local hospital when appropriate rather than to the medical center or out of the area</t>
  </si>
  <si>
    <t>Patients, surgeons, OR staff/nursing, DH care coordination center (CCC), local ambulance and patient transportation providers</t>
  </si>
  <si>
    <t xml:space="preserve">1. We have worked with DH general surgery department to create a schedule of urgent and emergent surgery availablity at the local CAH hospitals; 2. Two new general surgeons will be hired by DHMC and shared between 3 hospitals for community surgical work to allow for a rotating hospital weekend call schedule to avoid over taxing limited staff at the community hospitals and the need to pay call teams at each hospital every weekend. </t>
  </si>
  <si>
    <t>Mt Ascutney is sharing that cost of one general surgeon with Valley Regional Hospital. The cost of OR call pay and anesthesia call pay will decrease because of less call per month</t>
  </si>
  <si>
    <t>Decrease call pay for nursing and anesthesia staff</t>
  </si>
  <si>
    <t>Decrease in transfers to the medical center of general surgical cases that can be done in the community.  Decrease transfers out of the area due to lack of capacity at the medical center</t>
  </si>
  <si>
    <t>This started 8/2025 and is ongoing.  Once the 2 new community surgeons are hired in 2026 (Mt Ascutney will have 0.5 FTE new surgeon to replace 0.75 FTE of 2 other surgeons, 1 retiring from surgery and 1 moving work to a single location), then we can assure that nearly every weekend will have a community general surgeon available with call team at one of 4 CAH hospitals in DH system.  We are able to take transfers from other VT hospitals when they have no surgeon available.</t>
  </si>
  <si>
    <t>Maintain adequate community surgeons to rotate call weekends.  With less frequent call for surgeons, anesthesia and nursing, improved job satisfaction and less burnout.  Recruiting efforts will be bolstered by less call.</t>
  </si>
  <si>
    <t>Yes.  We will need to maintain adequate surgeon, anesthesia and nursing staff numbers to allow this to work long term.</t>
  </si>
  <si>
    <t>In addition to decreased cost for call pay, we have partnered with the local acedemic center (DHMC) to share anesthesia services which will decrease cost of anesthesia salaries and benefits.  We were able to end anesthesia contract with Medstream, an anesthesia staffing company that was quite costly and did not allow for flexibility in staffing when need.  There is a potential to look at augmented intelligence to help triage urgent surgical needs in the region to the appropriate level hospital.  Cost of this type of project TBD</t>
  </si>
  <si>
    <t>Ensure access to elective general surgical care at the community hospitals thus decreasing wait time for treatment of common surgical conditions</t>
  </si>
  <si>
    <t>1. Work with Academic Medical Centers to create a pathway to convert consultations for common general surgical conditions such as hernias, gall bladder disease, and other to consultation at the community hospitals to improve access to care and decrease wait time for evaluation and treatment of surgical conditions</t>
  </si>
  <si>
    <t>Academic medical centers, hospitals, patients, surgeons</t>
  </si>
  <si>
    <t>Mt Ascutney has worked with DHMC surgical chair to identify patients with conditions that can be treated in the community and looked at ways to book those consultations with the general surgeons at Mt Ascutney.</t>
  </si>
  <si>
    <t>Minimal.  We will utilize present staff to direct consults to existing surgical staff to see the patients.</t>
  </si>
  <si>
    <t>TBD.  We expect there will be a decrease in transportation cost for the patients as well as reduce cost to patients who will not have to travel as far to see a surgeon.</t>
  </si>
  <si>
    <t>Wait time until initial consultation for common surgical condiditons; wait time to surgical treatment for those conditions.  Keeping care close to home</t>
  </si>
  <si>
    <t xml:space="preserve">Started in 2025 </t>
  </si>
  <si>
    <t xml:space="preserve">With adequate surgical staff at the community hospitals, this can be maintained long term.  Commitment from the hospitals and the academic medical centers to proper utilization of services through the system and the local regions. </t>
  </si>
  <si>
    <t>Yes.  There needs to be adequate surgeons and OR staff to maintain access in the community</t>
  </si>
  <si>
    <t>Become an age-friendly organization to assure our community receives age-appropriate care of their needs, regardless of age</t>
  </si>
  <si>
    <t>1. Engage with GEDA for attaining level 1 geriatric care certificatiom; 2. Expand NICHE training to other areas of the hospital (primary care and specialties); 3. Engage with DHMC on gaining Geriatric certification for surgical services</t>
  </si>
  <si>
    <t>Nursing, medical staff, ancillary staff, patines, GEDA, senior admin team</t>
  </si>
  <si>
    <t>1. NICHE training has occurred on inpatient unit and report has been submitted.  We are waiting to find out what level we have achieved; 2. We will meet with a GEDA director to look at ED certification for level 1 and cost; 3. We work begin to look at other areas of the hospital such as surgical servicesonce we have the other areas certified</t>
  </si>
  <si>
    <t>TBD - may be 30-40K/year to maintain certifications</t>
  </si>
  <si>
    <t>Vender quotes</t>
  </si>
  <si>
    <t>Potentially will save costs by avoiding postoperative complications in the elderly, reduce admissions and readmissions as well as ED visits</t>
  </si>
  <si>
    <t>Will measure reduction in ED visits, admissions and readmissions for avoidable conditions (CHF and COPD)</t>
  </si>
  <si>
    <t>Started in 2025 with NICHE training on the acute unit</t>
  </si>
  <si>
    <t>This is a multiyear project expecting to be implemented over 3-5 years.</t>
  </si>
  <si>
    <t>Schneider/Tidwell</t>
  </si>
  <si>
    <t>We will engrain age-appropriate care into every encounter with our patients so that it becomes a natural part of our care rather than an additional practice.  Cost of certification might not be avoidable.</t>
  </si>
  <si>
    <t xml:space="preserve">Maybe.  There may be addition of medical assistants or care navigators to assure patients get the care they need </t>
  </si>
  <si>
    <r>
      <t xml:space="preserve">The Historic Homes of Runnameade is presently residential care.  Mt Ascutney has supported operations while working to imporve the fiscal stability.  In addition, MAH is planning Category 1 and 2 facility upgrades in FY 2026/2027 to assure safety of the facilites. </t>
    </r>
    <r>
      <rPr>
        <b/>
        <sz val="16"/>
        <color theme="1"/>
        <rFont val="Aptos Narrow"/>
        <scheme val="minor"/>
      </rPr>
      <t>The cost of operations support in 2025 was $950,000 and $206,000 so far in FY26.  The cost of safety upgrades for category 1-2 items will cost approx $1.25 mil in FY 26/27.  While there is a need for residential care in the region, it may be beneficial to explore transition of these buildings to assisted leaving for the community.  There are many elderly community members who do not need residential care but would benefit from assisted living.  There is no available options for people who need this type of living arrangement.</t>
    </r>
  </si>
  <si>
    <t>Support nursing Pathways Program to increase nursing workforce in Vermont</t>
  </si>
  <si>
    <t>Continue the Pathways Program which is in its second cohort</t>
  </si>
  <si>
    <t>Nursing, Hospitals, community programs and outpatient practices</t>
  </si>
  <si>
    <t>Worked with the community  and nursing schools to promote the Pathways program</t>
  </si>
  <si>
    <t>$190,000 for the first 2 cohorts (2024 and 2025) with plans for a third cohort later this year.</t>
  </si>
  <si>
    <t>Longterm, more local and regional nursing workforce will decrease costs occurred from using travelers and temporary workforce</t>
  </si>
  <si>
    <t>Decreased use of traveller staff.  Decreased time from posting nursing positions to filling those positions</t>
  </si>
  <si>
    <t>Started August 2024. We currently have three employees in cohort 1, four in cohort 2, and anticipating four for cohort 3 starting 8/2026.</t>
  </si>
  <si>
    <t>Tidwell/Mesropian</t>
  </si>
  <si>
    <r>
      <t xml:space="preserve">This may be difficult to sustain longterm.  </t>
    </r>
    <r>
      <rPr>
        <b/>
        <sz val="16"/>
        <color theme="1"/>
        <rFont val="Aptos Narrow"/>
        <scheme val="minor"/>
      </rPr>
      <t xml:space="preserve">ARPA funds were discontinued before Mt Ascutney was able to benefit from those funds.  We are fully supporting the cost of the nurses' schooling as well as pay for their work in our clinics.  Funding from the Federal or state would help support this program for many years. Our cost to date has been $190,000 for the first 2 years. </t>
    </r>
    <r>
      <rPr>
        <sz val="14"/>
        <color theme="1"/>
        <rFont val="Aptos Narrow"/>
        <scheme val="minor"/>
      </rPr>
      <t xml:space="preserve"> </t>
    </r>
  </si>
  <si>
    <t>Yes.  Increase in nursing workforce in Vermont.  Hopefully, the graduating nurses will stay in our region.</t>
  </si>
  <si>
    <t>Lack of state and federal funding to support this program which is very costly. Mt Ascutney remains committed to support the Pathways Program for as long as fiscally possible.</t>
  </si>
  <si>
    <t xml:space="preserve">Work with area primary care practices and communities to share resource knowledge and availability and look to broaden resource pool for community services </t>
  </si>
  <si>
    <t>1. Launching from work done from the state healthcare grant, we will utilize the strengthened community health resources and relationships and share them with local and regional communities. 2. Work with local and regional provider practices to build community resources for people in need of support, such as community nurse, community centers, mental health, geriatric care, fall risk, nutritional risk and more, depending on community needs.</t>
  </si>
  <si>
    <t>Primary care practices, hospitals, regional communities, resource centers, local and regional governmental agencies</t>
  </si>
  <si>
    <t>We will reach out to the stakeholders to understand the local and regional needs.  We will seek to understand how best to bolster existing resources as well as how to assist in developing resources that are lacking.</t>
  </si>
  <si>
    <t>Improved resources for patients with needs will reduce avoidable ED visits and hospitalizations.</t>
  </si>
  <si>
    <t>Measure ED visits and admissions for avoidable visits for conditions such as CHF and COPD</t>
  </si>
  <si>
    <t xml:space="preserve">Throught the grant period </t>
  </si>
  <si>
    <t>Needham-Shropshire/Schneider</t>
  </si>
  <si>
    <t xml:space="preserve">Once resources are identified, sharing can be done long term.  Will need to detrmine appropriate repository for the resource information and someone to keep it updated.  </t>
  </si>
  <si>
    <t>Possibly- someone who can continue the outreach to communities to update the list of resources and contact information</t>
  </si>
  <si>
    <t>Conceptual Phase</t>
  </si>
  <si>
    <t>Minimum</t>
  </si>
  <si>
    <t>Planning Phase</t>
  </si>
  <si>
    <t>Limited</t>
  </si>
  <si>
    <t>Development Phase</t>
  </si>
  <si>
    <t>Moderate</t>
  </si>
  <si>
    <t>Implementation Phase</t>
  </si>
  <si>
    <t>Significant</t>
  </si>
  <si>
    <t>Operational Phase</t>
  </si>
  <si>
    <t>Care Model Redesign </t>
  </si>
  <si>
    <t>Fundamental change in how care is delivered </t>
  </si>
  <si>
    <t>Access &amp; Capacity </t>
  </si>
  <si>
    <t>Expanding timely access, throughput, or workforce </t>
  </si>
  <si>
    <t>Quality &amp; Safety </t>
  </si>
  <si>
    <t>Improving clinical outcomes or reducing harm </t>
  </si>
  <si>
    <t>Population Health &amp; At-Risk Populations </t>
  </si>
  <si>
    <t>Addressing disparities or community-level outcomes </t>
  </si>
  <si>
    <t>Financial &amp; Payment Reform </t>
  </si>
  <si>
    <t>Improving sustainability through payment alignment </t>
  </si>
  <si>
    <t>Digital &amp; Data Infrastructure </t>
  </si>
  <si>
    <t>Enabling transformation via technology/data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</si>
</sst>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4" formatCode="_(&quot;$&quot;* #,##0.00_);_(&quot;$&quot;* \(#,##0.00\);_(&quot;$&quot;* &quot;-&quot;??_);_(@_)"/>
    <numFmt numFmtId="164" formatCode="_(&quot;$&quot;* #,##0_);_(&quot;$&quot;* \(#,##0\);_(&quot;$&quot;* &quot;-&quot;??_);_(@_)"/>
    <numFmt numFmtId="165" formatCode="_([$$-409]* #,##0.00_);_([$$-409]* \(#,##0.00\);_([$$-409]* &quot;-&quot;??_);_(@_)"/>
    <numFmt numFmtId="166" formatCode="[$$-409]#,##0.00_);\([$$-409]#,##0.00\)"/>
    <numFmt numFmtId="167" formatCode="&quot;$&quot;#,##0"/>
    <numFmt numFmtId="168" formatCode="&quot;$&quot;#,##0.00"/>
  </numFmts>
  <fonts count="40">
    <font>
      <sz val="11"/>
      <color theme="1"/>
      <name val="Aptos Narrow"/>
      <family val="2"/>
      <scheme val="minor"/>
    </font>
    <font>
      <sz val="11"/>
      <color theme="1"/>
      <name val="Aptos Narrow"/>
      <family val="2"/>
      <scheme val="minor"/>
    </font>
    <font>
      <b/>
      <sz val="11"/>
      <color theme="1"/>
      <name val="Aptos Narrow"/>
      <family val="2"/>
      <scheme val="minor"/>
    </font>
    <font>
      <sz val="11"/>
      <name val="Calibri"/>
      <charset val="1"/>
    </font>
    <font>
      <b/>
      <sz val="18"/>
      <color theme="0"/>
      <name val="Aptos Narrow"/>
      <scheme val="minor"/>
    </font>
    <font>
      <sz val="18"/>
      <color theme="1"/>
      <name val="Aptos Narrow"/>
      <scheme val="minor"/>
    </font>
    <font>
      <sz val="18"/>
      <color rgb="FF000000"/>
      <name val="Aptos Narrow"/>
      <scheme val="minor"/>
    </font>
    <font>
      <sz val="18"/>
      <color rgb="FF000000"/>
      <name val="Aptos Narrow"/>
      <family val="2"/>
      <scheme val="minor"/>
    </font>
    <font>
      <sz val="18"/>
      <color theme="3" tint="0.249977111117893"/>
      <name val="Aptos Narrow"/>
      <scheme val="minor"/>
    </font>
    <font>
      <sz val="18"/>
      <color theme="3" tint="0.249977111117893"/>
      <name val="Aptos Narrow"/>
      <family val="2"/>
      <scheme val="minor"/>
    </font>
    <font>
      <sz val="18"/>
      <color theme="1"/>
      <name val="Aptos Narrow"/>
      <family val="2"/>
      <scheme val="minor"/>
    </font>
    <font>
      <b/>
      <i/>
      <sz val="18"/>
      <color rgb="FF000000"/>
      <name val="Aptos Narrow"/>
      <family val="2"/>
      <scheme val="minor"/>
    </font>
    <font>
      <sz val="18"/>
      <name val="Aptos Narrow"/>
      <family val="2"/>
      <scheme val="minor"/>
    </font>
    <font>
      <b/>
      <i/>
      <sz val="18"/>
      <color theme="1"/>
      <name val="Aptos Narrow"/>
      <family val="2"/>
      <scheme val="minor"/>
    </font>
    <font>
      <sz val="18"/>
      <color theme="1"/>
      <name val="Aptos"/>
      <family val="2"/>
    </font>
    <font>
      <sz val="18"/>
      <name val="Aptos Narrow"/>
    </font>
    <font>
      <sz val="18"/>
      <name val="Aptos Narrow"/>
      <family val="2"/>
    </font>
    <font>
      <sz val="18"/>
      <color rgb="FF000000"/>
      <name val="Aptos Narrow"/>
      <family val="2"/>
    </font>
    <font>
      <b/>
      <sz val="18"/>
      <color rgb="FFFF0000"/>
      <name val="Aptos Narrow"/>
      <family val="2"/>
    </font>
    <font>
      <b/>
      <sz val="18"/>
      <name val="Aptos Narrow"/>
      <family val="2"/>
    </font>
    <font>
      <sz val="18"/>
      <color rgb="FFFF0000"/>
      <name val="Aptos Narrow"/>
      <family val="2"/>
    </font>
    <font>
      <sz val="18"/>
      <color rgb="FFFF0000"/>
      <name val="Aptos Narrow"/>
    </font>
    <font>
      <sz val="18"/>
      <color rgb="FFFF0000"/>
      <name val="Aptos Narrow"/>
      <family val="2"/>
      <scheme val="minor"/>
    </font>
    <font>
      <sz val="18"/>
      <color rgb="FF000000"/>
      <name val="Aptos"/>
      <family val="2"/>
    </font>
    <font>
      <b/>
      <sz val="18"/>
      <color rgb="FF000000"/>
      <name val="Aptos Narrow"/>
      <family val="2"/>
      <scheme val="minor"/>
    </font>
    <font>
      <sz val="18"/>
      <name val="Aptos Narrow"/>
      <scheme val="minor"/>
    </font>
    <font>
      <sz val="18"/>
      <color theme="1"/>
      <name val="Calibri"/>
      <family val="2"/>
    </font>
    <font>
      <sz val="18"/>
      <color rgb="FF000000"/>
      <name val="Calibri"/>
      <family val="2"/>
    </font>
    <font>
      <b/>
      <sz val="18"/>
      <color theme="1"/>
      <name val="Calibri"/>
      <family val="2"/>
    </font>
    <font>
      <sz val="18"/>
      <name val="Calibri"/>
      <family val="2"/>
    </font>
    <font>
      <sz val="18"/>
      <color rgb="FFFF0000"/>
      <name val="Calibri"/>
      <family val="2"/>
    </font>
    <font>
      <sz val="18"/>
      <color rgb="FF0E2841"/>
      <name val="Calibri"/>
      <family val="2"/>
    </font>
    <font>
      <b/>
      <sz val="18"/>
      <color rgb="FF000000"/>
      <name val="Calibri"/>
      <family val="2"/>
    </font>
    <font>
      <sz val="18"/>
      <color rgb="FF000000"/>
      <name val="Aptos Narrow"/>
    </font>
    <font>
      <sz val="18"/>
      <color rgb="FF215C98"/>
      <name val="Aptos Narrow"/>
    </font>
    <font>
      <sz val="14"/>
      <color theme="1"/>
      <name val="Aptos Narrow"/>
      <scheme val="minor"/>
    </font>
    <font>
      <sz val="14"/>
      <color rgb="FF000000"/>
      <name val="Aptos Narrow"/>
      <scheme val="minor"/>
    </font>
    <font>
      <b/>
      <sz val="14"/>
      <name val="Aptos Narrow"/>
      <scheme val="minor"/>
    </font>
    <font>
      <b/>
      <sz val="18"/>
      <color rgb="FF000000"/>
      <name val="Aptos Narrow"/>
      <scheme val="minor"/>
    </font>
    <font>
      <b/>
      <sz val="16"/>
      <color theme="1"/>
      <name val="Aptos Narrow"/>
      <scheme val="minor"/>
    </font>
  </fonts>
  <fills count="5">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rgb="FFFFFFFF"/>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top style="thin">
        <color rgb="FF000000"/>
      </top>
      <bottom style="thin">
        <color rgb="FF000000"/>
      </bottom>
      <diagonal/>
    </border>
  </borders>
  <cellStyleXfs count="2">
    <xf numFmtId="0" fontId="0" fillId="0" borderId="0"/>
    <xf numFmtId="44" fontId="1" fillId="0" borderId="0" applyFont="0" applyFill="0" applyBorder="0" applyAlignment="0" applyProtection="0"/>
  </cellStyleXfs>
  <cellXfs count="229">
    <xf numFmtId="0" fontId="0" fillId="0" borderId="0" xfId="0"/>
    <xf numFmtId="0" fontId="0" fillId="0" borderId="4" xfId="0" applyBorder="1"/>
    <xf numFmtId="0" fontId="2" fillId="0" borderId="4" xfId="0" applyFont="1" applyBorder="1"/>
    <xf numFmtId="0" fontId="3" fillId="0" borderId="4" xfId="0" applyFont="1" applyBorder="1" applyAlignment="1">
      <alignment wrapText="1" readingOrder="1"/>
    </xf>
    <xf numFmtId="0" fontId="4" fillId="2" borderId="4"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6" xfId="0" applyFont="1" applyFill="1" applyBorder="1" applyAlignment="1">
      <alignment horizontal="center" vertical="center" wrapText="1"/>
    </xf>
    <xf numFmtId="164" fontId="4" fillId="2" borderId="1" xfId="1" applyNumberFormat="1" applyFont="1" applyFill="1" applyBorder="1" applyAlignment="1">
      <alignment horizontal="center" vertical="center" wrapText="1"/>
    </xf>
    <xf numFmtId="164" fontId="4" fillId="2" borderId="6" xfId="1"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0" borderId="0" xfId="0" applyFont="1"/>
    <xf numFmtId="0" fontId="6" fillId="0" borderId="4" xfId="0" applyFont="1" applyBorder="1" applyAlignment="1">
      <alignment horizontal="left" vertical="top"/>
    </xf>
    <xf numFmtId="0" fontId="6" fillId="0" borderId="7" xfId="0" applyFont="1" applyBorder="1" applyAlignment="1">
      <alignment horizontal="left" vertical="top" wrapText="1"/>
    </xf>
    <xf numFmtId="0" fontId="6" fillId="0" borderId="4" xfId="0" applyFont="1" applyBorder="1" applyAlignment="1">
      <alignment horizontal="left" vertical="top" wrapText="1"/>
    </xf>
    <xf numFmtId="0" fontId="6" fillId="0" borderId="11" xfId="0" applyFont="1" applyBorder="1" applyAlignment="1">
      <alignment horizontal="left" vertical="top" wrapText="1"/>
    </xf>
    <xf numFmtId="0" fontId="6" fillId="0" borderId="1" xfId="0" applyFont="1" applyBorder="1" applyAlignment="1" applyProtection="1">
      <alignment horizontal="left" vertical="top" wrapText="1"/>
      <protection locked="0"/>
    </xf>
    <xf numFmtId="0" fontId="6" fillId="0" borderId="5" xfId="0" applyFont="1" applyBorder="1" applyAlignment="1" applyProtection="1">
      <alignment horizontal="left" vertical="top" wrapText="1"/>
      <protection locked="0"/>
    </xf>
    <xf numFmtId="165" fontId="6" fillId="0" borderId="7" xfId="0" applyNumberFormat="1" applyFont="1" applyBorder="1" applyAlignment="1">
      <alignment horizontal="left" vertical="top"/>
    </xf>
    <xf numFmtId="4" fontId="6" fillId="0" borderId="1" xfId="0" applyNumberFormat="1" applyFont="1" applyBorder="1" applyAlignment="1" applyProtection="1">
      <alignment horizontal="left" vertical="top"/>
      <protection locked="0"/>
    </xf>
    <xf numFmtId="165" fontId="6" fillId="0" borderId="4" xfId="0" applyNumberFormat="1" applyFont="1" applyBorder="1" applyAlignment="1">
      <alignment horizontal="left" vertical="top" wrapText="1"/>
    </xf>
    <xf numFmtId="14" fontId="6" fillId="0" borderId="4" xfId="0" applyNumberFormat="1" applyFont="1" applyBorder="1" applyAlignment="1">
      <alignment horizontal="left" vertical="top"/>
    </xf>
    <xf numFmtId="14" fontId="7" fillId="0" borderId="4" xfId="0" applyNumberFormat="1" applyFont="1" applyBorder="1" applyAlignment="1">
      <alignment horizontal="left" vertical="top"/>
    </xf>
    <xf numFmtId="0" fontId="8" fillId="0" borderId="4" xfId="0" applyFont="1" applyBorder="1" applyAlignment="1">
      <alignment horizontal="left" vertical="top" wrapText="1"/>
    </xf>
    <xf numFmtId="4" fontId="8" fillId="0" borderId="1" xfId="0" applyNumberFormat="1" applyFont="1" applyBorder="1" applyAlignment="1" applyProtection="1">
      <alignment horizontal="left" vertical="top" wrapText="1"/>
      <protection locked="0"/>
    </xf>
    <xf numFmtId="0" fontId="6" fillId="0" borderId="0" xfId="0" applyFont="1" applyAlignment="1">
      <alignment horizontal="left" vertical="top"/>
    </xf>
    <xf numFmtId="0" fontId="8" fillId="0" borderId="4" xfId="0" applyFont="1" applyBorder="1" applyAlignment="1">
      <alignment horizontal="left" vertical="top"/>
    </xf>
    <xf numFmtId="14" fontId="6" fillId="0" borderId="4" xfId="0" applyNumberFormat="1" applyFont="1" applyBorder="1" applyAlignment="1">
      <alignment horizontal="left" vertical="top" wrapText="1"/>
    </xf>
    <xf numFmtId="165" fontId="6" fillId="0" borderId="7" xfId="0" applyNumberFormat="1" applyFont="1" applyBorder="1" applyAlignment="1">
      <alignment horizontal="left" vertical="top" wrapText="1"/>
    </xf>
    <xf numFmtId="4" fontId="8" fillId="0" borderId="1" xfId="0" applyNumberFormat="1" applyFont="1" applyBorder="1" applyAlignment="1" applyProtection="1">
      <alignment horizontal="left" vertical="top"/>
      <protection locked="0"/>
    </xf>
    <xf numFmtId="0" fontId="7" fillId="0" borderId="7" xfId="0" applyFont="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pplyProtection="1">
      <alignment horizontal="left" vertical="top" wrapText="1"/>
      <protection locked="0"/>
    </xf>
    <xf numFmtId="4" fontId="9" fillId="0" borderId="1" xfId="0" applyNumberFormat="1" applyFont="1" applyBorder="1" applyAlignment="1" applyProtection="1">
      <alignment horizontal="left" vertical="top" wrapText="1"/>
      <protection locked="0"/>
    </xf>
    <xf numFmtId="0" fontId="7" fillId="0" borderId="11" xfId="0" applyFont="1" applyBorder="1" applyAlignment="1">
      <alignment horizontal="left" vertical="top" wrapText="1"/>
    </xf>
    <xf numFmtId="0" fontId="7" fillId="0" borderId="1" xfId="0" applyFont="1" applyBorder="1" applyAlignment="1" applyProtection="1">
      <alignment horizontal="left" vertical="top" wrapText="1"/>
      <protection locked="0"/>
    </xf>
    <xf numFmtId="165" fontId="7" fillId="0" borderId="7" xfId="0" applyNumberFormat="1" applyFont="1" applyBorder="1" applyAlignment="1">
      <alignment horizontal="left" vertical="top" wrapText="1"/>
    </xf>
    <xf numFmtId="4" fontId="7" fillId="0" borderId="1" xfId="0" applyNumberFormat="1" applyFont="1" applyBorder="1" applyAlignment="1" applyProtection="1">
      <alignment horizontal="left" vertical="top"/>
      <protection locked="0"/>
    </xf>
    <xf numFmtId="165" fontId="7" fillId="0" borderId="4" xfId="0" applyNumberFormat="1" applyFont="1" applyBorder="1" applyAlignment="1">
      <alignment horizontal="left" vertical="top" wrapText="1"/>
    </xf>
    <xf numFmtId="0" fontId="7" fillId="0" borderId="4" xfId="0" applyFont="1" applyBorder="1" applyAlignment="1">
      <alignment horizontal="left" vertical="top"/>
    </xf>
    <xf numFmtId="0" fontId="9" fillId="0" borderId="4" xfId="0" applyFont="1" applyBorder="1" applyAlignment="1">
      <alignment horizontal="left" vertical="top" wrapText="1"/>
    </xf>
    <xf numFmtId="0" fontId="10" fillId="0" borderId="4" xfId="0" applyFont="1" applyBorder="1" applyAlignment="1">
      <alignment vertical="top" wrapText="1"/>
    </xf>
    <xf numFmtId="165" fontId="6" fillId="0" borderId="4" xfId="0" applyNumberFormat="1" applyFont="1" applyBorder="1" applyAlignment="1">
      <alignment horizontal="left" vertical="top"/>
    </xf>
    <xf numFmtId="165" fontId="7" fillId="0" borderId="7" xfId="0" applyNumberFormat="1" applyFont="1" applyBorder="1" applyAlignment="1">
      <alignment horizontal="left" vertical="top"/>
    </xf>
    <xf numFmtId="4" fontId="9" fillId="0" borderId="1" xfId="0" applyNumberFormat="1" applyFont="1" applyBorder="1" applyAlignment="1" applyProtection="1">
      <alignment horizontal="left" vertical="top"/>
      <protection locked="0"/>
    </xf>
    <xf numFmtId="0" fontId="9" fillId="0" borderId="4" xfId="0" applyFont="1" applyBorder="1" applyAlignment="1">
      <alignment horizontal="left" vertical="top"/>
    </xf>
    <xf numFmtId="0" fontId="5" fillId="0" borderId="4" xfId="0" applyFont="1" applyBorder="1"/>
    <xf numFmtId="0" fontId="11" fillId="0" borderId="7" xfId="0" applyFont="1" applyBorder="1" applyAlignment="1">
      <alignment horizontal="left" vertical="center" wrapText="1"/>
    </xf>
    <xf numFmtId="0" fontId="11" fillId="0" borderId="4" xfId="0" applyFont="1" applyBorder="1" applyAlignment="1">
      <alignment horizontal="left" vertical="center" wrapText="1"/>
    </xf>
    <xf numFmtId="0" fontId="10" fillId="0" borderId="1" xfId="0" applyFont="1" applyBorder="1" applyAlignment="1">
      <alignment horizontal="left" vertical="top" wrapText="1"/>
    </xf>
    <xf numFmtId="0" fontId="7" fillId="0" borderId="1" xfId="0" applyFont="1" applyBorder="1" applyAlignment="1">
      <alignment horizontal="left" vertical="top" wrapText="1"/>
    </xf>
    <xf numFmtId="165" fontId="7" fillId="0" borderId="1" xfId="0" applyNumberFormat="1" applyFont="1" applyBorder="1" applyAlignment="1">
      <alignment horizontal="left" vertical="top" wrapText="1"/>
    </xf>
    <xf numFmtId="4" fontId="7" fillId="0" borderId="1" xfId="0" applyNumberFormat="1" applyFont="1" applyBorder="1" applyAlignment="1" applyProtection="1">
      <alignment horizontal="left" vertical="top" wrapText="1"/>
      <protection locked="0"/>
    </xf>
    <xf numFmtId="14" fontId="7" fillId="0" borderId="1" xfId="0" applyNumberFormat="1" applyFont="1" applyBorder="1" applyAlignment="1">
      <alignment horizontal="left" vertical="top" wrapText="1"/>
    </xf>
    <xf numFmtId="4" fontId="12" fillId="0" borderId="1" xfId="0" applyNumberFormat="1" applyFont="1" applyBorder="1" applyAlignment="1" applyProtection="1">
      <alignment horizontal="left" vertical="top" wrapText="1"/>
      <protection locked="0"/>
    </xf>
    <xf numFmtId="0" fontId="10" fillId="0" borderId="7" xfId="0" applyFont="1" applyBorder="1" applyAlignment="1">
      <alignment vertical="center" wrapText="1"/>
    </xf>
    <xf numFmtId="0" fontId="10" fillId="0" borderId="4" xfId="0" applyFont="1" applyBorder="1" applyAlignment="1">
      <alignment vertical="center" wrapText="1"/>
    </xf>
    <xf numFmtId="0" fontId="10" fillId="0" borderId="1" xfId="0" applyFont="1" applyBorder="1" applyAlignment="1">
      <alignment vertical="top" wrapText="1"/>
    </xf>
    <xf numFmtId="0" fontId="14" fillId="0" borderId="0" xfId="0" applyFont="1" applyAlignment="1">
      <alignment vertical="top"/>
    </xf>
    <xf numFmtId="0" fontId="13" fillId="0" borderId="7" xfId="0" applyFont="1" applyBorder="1" applyAlignment="1">
      <alignment vertical="center" wrapText="1"/>
    </xf>
    <xf numFmtId="0" fontId="13" fillId="0" borderId="4" xfId="0" applyFont="1" applyBorder="1" applyAlignment="1">
      <alignment vertical="center" wrapText="1"/>
    </xf>
    <xf numFmtId="0" fontId="12" fillId="0" borderId="1" xfId="0" applyFont="1" applyBorder="1" applyAlignment="1">
      <alignment horizontal="left" vertical="top" wrapText="1"/>
    </xf>
    <xf numFmtId="0" fontId="7" fillId="0" borderId="12" xfId="0" applyFont="1" applyBorder="1" applyAlignment="1">
      <alignment horizontal="left" vertical="top" wrapText="1"/>
    </xf>
    <xf numFmtId="0" fontId="7" fillId="0" borderId="10" xfId="0" applyFont="1" applyBorder="1" applyAlignment="1" applyProtection="1">
      <alignment horizontal="left" vertical="top" wrapText="1"/>
      <protection locked="0"/>
    </xf>
    <xf numFmtId="0" fontId="10" fillId="0" borderId="10" xfId="0" applyFont="1" applyBorder="1" applyAlignment="1">
      <alignment vertical="top" wrapText="1"/>
    </xf>
    <xf numFmtId="0" fontId="13" fillId="0" borderId="7" xfId="0" applyFont="1" applyBorder="1" applyAlignment="1">
      <alignment horizontal="left" vertical="center" wrapText="1"/>
    </xf>
    <xf numFmtId="0" fontId="13" fillId="0" borderId="4" xfId="0" applyFont="1" applyBorder="1" applyAlignment="1">
      <alignment horizontal="left" vertical="center" wrapText="1"/>
    </xf>
    <xf numFmtId="0" fontId="10" fillId="0" borderId="1" xfId="0" applyFont="1" applyBorder="1" applyAlignment="1">
      <alignment wrapText="1"/>
    </xf>
    <xf numFmtId="0" fontId="15" fillId="0" borderId="7" xfId="0" applyFont="1" applyBorder="1" applyAlignment="1">
      <alignment wrapText="1"/>
    </xf>
    <xf numFmtId="0" fontId="15" fillId="0" borderId="4" xfId="0" applyFont="1" applyBorder="1" applyAlignment="1">
      <alignment wrapText="1"/>
    </xf>
    <xf numFmtId="0" fontId="15" fillId="0" borderId="11" xfId="0" applyFont="1" applyBorder="1" applyAlignment="1">
      <alignment wrapText="1"/>
    </xf>
    <xf numFmtId="0" fontId="15" fillId="0" borderId="1" xfId="0" applyFont="1" applyBorder="1" applyAlignment="1">
      <alignment wrapText="1"/>
    </xf>
    <xf numFmtId="0" fontId="16" fillId="0" borderId="1" xfId="0" applyFont="1" applyBorder="1" applyAlignment="1">
      <alignment wrapText="1"/>
    </xf>
    <xf numFmtId="0" fontId="15" fillId="0" borderId="1" xfId="0" applyFont="1" applyBorder="1" applyAlignment="1"/>
    <xf numFmtId="0" fontId="18" fillId="0" borderId="1" xfId="0" applyFont="1" applyBorder="1" applyAlignment="1">
      <alignment wrapText="1"/>
    </xf>
    <xf numFmtId="14" fontId="15" fillId="0" borderId="1" xfId="0" applyNumberFormat="1" applyFont="1" applyBorder="1" applyAlignment="1"/>
    <xf numFmtId="0" fontId="17" fillId="0" borderId="1" xfId="0" applyFont="1" applyBorder="1" applyAlignment="1">
      <alignment wrapText="1"/>
    </xf>
    <xf numFmtId="0" fontId="16" fillId="0" borderId="7" xfId="0" applyFont="1" applyBorder="1" applyAlignment="1">
      <alignment wrapText="1"/>
    </xf>
    <xf numFmtId="0" fontId="16" fillId="0" borderId="4" xfId="0" applyFont="1" applyBorder="1" applyAlignment="1">
      <alignment wrapText="1"/>
    </xf>
    <xf numFmtId="14" fontId="15" fillId="0" borderId="1" xfId="0" applyNumberFormat="1" applyFont="1" applyBorder="1" applyAlignment="1">
      <alignment wrapText="1"/>
    </xf>
    <xf numFmtId="0" fontId="16" fillId="0" borderId="1" xfId="0" applyFont="1" applyBorder="1" applyAlignment="1"/>
    <xf numFmtId="6" fontId="15" fillId="0" borderId="1" xfId="0" applyNumberFormat="1" applyFont="1" applyBorder="1" applyAlignment="1">
      <alignment wrapText="1"/>
    </xf>
    <xf numFmtId="0" fontId="15" fillId="0" borderId="11" xfId="0" applyFont="1" applyBorder="1" applyAlignment="1"/>
    <xf numFmtId="0" fontId="5" fillId="0" borderId="14" xfId="0" applyFont="1" applyBorder="1"/>
    <xf numFmtId="0" fontId="7" fillId="0" borderId="17" xfId="0" applyFont="1" applyBorder="1" applyAlignment="1">
      <alignment horizontal="left" vertical="top" wrapText="1"/>
    </xf>
    <xf numFmtId="14" fontId="7" fillId="0" borderId="4" xfId="0" applyNumberFormat="1" applyFont="1" applyBorder="1" applyAlignment="1">
      <alignment horizontal="left" vertical="top" wrapText="1"/>
    </xf>
    <xf numFmtId="0" fontId="12" fillId="0" borderId="4" xfId="0" applyFont="1" applyBorder="1" applyAlignment="1">
      <alignment horizontal="left" vertical="top" wrapText="1"/>
    </xf>
    <xf numFmtId="14" fontId="7" fillId="0" borderId="4" xfId="0" quotePrefix="1" applyNumberFormat="1" applyFont="1" applyBorder="1" applyAlignment="1">
      <alignment horizontal="left" vertical="top" wrapText="1"/>
    </xf>
    <xf numFmtId="165" fontId="7" fillId="0" borderId="7" xfId="0" quotePrefix="1" applyNumberFormat="1" applyFont="1" applyBorder="1" applyAlignment="1">
      <alignment horizontal="left" vertical="top"/>
    </xf>
    <xf numFmtId="0" fontId="10" fillId="0" borderId="17" xfId="0" applyFont="1" applyBorder="1" applyAlignment="1">
      <alignment horizontal="left" vertical="top" wrapText="1"/>
    </xf>
    <xf numFmtId="0" fontId="10" fillId="0" borderId="4" xfId="0" applyFont="1" applyBorder="1" applyAlignment="1">
      <alignment horizontal="left" vertical="top" wrapText="1"/>
    </xf>
    <xf numFmtId="0" fontId="10" fillId="0" borderId="11" xfId="0" applyFont="1" applyBorder="1" applyAlignment="1">
      <alignment horizontal="left" vertical="top" wrapText="1"/>
    </xf>
    <xf numFmtId="0" fontId="10" fillId="0" borderId="1" xfId="0" applyFont="1" applyBorder="1" applyAlignment="1" applyProtection="1">
      <alignment horizontal="left" vertical="top" wrapText="1"/>
      <protection locked="0"/>
    </xf>
    <xf numFmtId="0" fontId="10" fillId="0" borderId="5" xfId="0" applyFont="1" applyBorder="1" applyAlignment="1" applyProtection="1">
      <alignment horizontal="left" vertical="top" wrapText="1"/>
      <protection locked="0"/>
    </xf>
    <xf numFmtId="165" fontId="10" fillId="0" borderId="7" xfId="0" applyNumberFormat="1" applyFont="1" applyBorder="1" applyAlignment="1">
      <alignment horizontal="left" vertical="top"/>
    </xf>
    <xf numFmtId="4" fontId="10" fillId="0" borderId="1" xfId="0" applyNumberFormat="1" applyFont="1" applyBorder="1" applyAlignment="1" applyProtection="1">
      <alignment horizontal="left" vertical="top"/>
      <protection locked="0"/>
    </xf>
    <xf numFmtId="165" fontId="10" fillId="0" borderId="4" xfId="0" applyNumberFormat="1" applyFont="1" applyBorder="1" applyAlignment="1">
      <alignment horizontal="left" vertical="top" wrapText="1"/>
    </xf>
    <xf numFmtId="14" fontId="10" fillId="0" borderId="4" xfId="0" applyNumberFormat="1" applyFont="1" applyBorder="1" applyAlignment="1">
      <alignment horizontal="left" vertical="top"/>
    </xf>
    <xf numFmtId="0" fontId="10" fillId="0" borderId="4" xfId="0" applyFont="1" applyBorder="1" applyAlignment="1">
      <alignment horizontal="left" vertical="top"/>
    </xf>
    <xf numFmtId="14" fontId="10" fillId="0" borderId="4" xfId="0" applyNumberFormat="1" applyFont="1" applyBorder="1" applyAlignment="1">
      <alignment horizontal="left" vertical="top" wrapText="1"/>
    </xf>
    <xf numFmtId="14" fontId="7" fillId="0" borderId="4" xfId="0" quotePrefix="1" applyNumberFormat="1" applyFont="1" applyBorder="1" applyAlignment="1">
      <alignment horizontal="left" vertical="top"/>
    </xf>
    <xf numFmtId="0" fontId="7" fillId="0" borderId="5" xfId="0" quotePrefix="1" applyFont="1" applyBorder="1" applyAlignment="1" applyProtection="1">
      <alignment horizontal="left" vertical="top" wrapText="1"/>
      <protection locked="0"/>
    </xf>
    <xf numFmtId="166" fontId="7" fillId="0" borderId="7" xfId="0" applyNumberFormat="1" applyFont="1" applyBorder="1" applyAlignment="1">
      <alignment vertical="top"/>
    </xf>
    <xf numFmtId="165" fontId="7" fillId="0" borderId="4" xfId="0" applyNumberFormat="1" applyFont="1" applyBorder="1" applyAlignment="1">
      <alignment horizontal="left" vertical="top"/>
    </xf>
    <xf numFmtId="0" fontId="10" fillId="0" borderId="7" xfId="0" applyFont="1" applyBorder="1" applyAlignment="1">
      <alignment horizontal="left" vertical="top" wrapText="1"/>
    </xf>
    <xf numFmtId="0" fontId="7" fillId="0" borderId="13" xfId="0" applyFont="1" applyBorder="1" applyAlignment="1">
      <alignment horizontal="left" vertical="top" wrapText="1"/>
    </xf>
    <xf numFmtId="0" fontId="7" fillId="0" borderId="4" xfId="0" applyFont="1" applyBorder="1" applyAlignment="1" applyProtection="1">
      <alignment horizontal="left" vertical="top" wrapText="1"/>
      <protection locked="0"/>
    </xf>
    <xf numFmtId="0" fontId="10" fillId="0" borderId="7" xfId="0" applyFont="1" applyBorder="1" applyAlignment="1">
      <alignment wrapText="1"/>
    </xf>
    <xf numFmtId="0" fontId="10" fillId="0" borderId="4" xfId="0" applyFont="1" applyBorder="1" applyAlignment="1">
      <alignment wrapText="1"/>
    </xf>
    <xf numFmtId="0" fontId="10" fillId="0" borderId="13" xfId="0" applyFont="1" applyBorder="1" applyAlignment="1">
      <alignment wrapText="1"/>
    </xf>
    <xf numFmtId="0" fontId="10" fillId="0" borderId="11" xfId="0" applyFont="1" applyBorder="1" applyAlignment="1">
      <alignment wrapText="1"/>
    </xf>
    <xf numFmtId="0" fontId="23" fillId="0" borderId="7" xfId="0" applyFont="1" applyBorder="1" applyAlignment="1">
      <alignment vertical="center" wrapText="1"/>
    </xf>
    <xf numFmtId="0" fontId="23" fillId="0" borderId="4" xfId="0" applyFont="1" applyBorder="1" applyAlignment="1">
      <alignment vertical="center" wrapText="1"/>
    </xf>
    <xf numFmtId="0" fontId="24" fillId="0" borderId="4" xfId="0" applyFont="1" applyBorder="1" applyAlignment="1" applyProtection="1">
      <alignment horizontal="left" vertical="top" wrapText="1"/>
      <protection locked="0"/>
    </xf>
    <xf numFmtId="0" fontId="7" fillId="0" borderId="9" xfId="0" applyFont="1" applyBorder="1" applyAlignment="1">
      <alignment horizontal="left" vertical="top" wrapText="1"/>
    </xf>
    <xf numFmtId="0" fontId="7" fillId="0" borderId="15" xfId="0" applyFont="1" applyBorder="1" applyAlignment="1">
      <alignment horizontal="left" vertical="top"/>
    </xf>
    <xf numFmtId="165" fontId="7" fillId="0" borderId="8" xfId="0" applyNumberFormat="1" applyFont="1" applyBorder="1" applyAlignment="1">
      <alignment horizontal="left" vertical="top"/>
    </xf>
    <xf numFmtId="4" fontId="7" fillId="0" borderId="10" xfId="0" applyNumberFormat="1" applyFont="1" applyBorder="1" applyAlignment="1" applyProtection="1">
      <alignment horizontal="left" vertical="top"/>
      <protection locked="0"/>
    </xf>
    <xf numFmtId="165" fontId="7" fillId="0" borderId="15" xfId="0" applyNumberFormat="1" applyFont="1" applyBorder="1" applyAlignment="1">
      <alignment horizontal="left" vertical="top"/>
    </xf>
    <xf numFmtId="0" fontId="7" fillId="0" borderId="15" xfId="0" applyFont="1" applyBorder="1" applyAlignment="1">
      <alignment horizontal="left" vertical="top" wrapText="1"/>
    </xf>
    <xf numFmtId="14" fontId="7" fillId="0" borderId="15" xfId="0" applyNumberFormat="1" applyFont="1" applyBorder="1" applyAlignment="1">
      <alignment horizontal="left" vertical="top"/>
    </xf>
    <xf numFmtId="0" fontId="10" fillId="0" borderId="0" xfId="0" applyFont="1" applyAlignment="1">
      <alignment wrapText="1"/>
    </xf>
    <xf numFmtId="0" fontId="10" fillId="0" borderId="16" xfId="0" applyFont="1" applyBorder="1" applyAlignment="1">
      <alignment vertical="top" wrapText="1"/>
    </xf>
    <xf numFmtId="0" fontId="6" fillId="0" borderId="1" xfId="0" applyFont="1" applyBorder="1" applyAlignment="1">
      <alignment horizontal="left" vertical="top" wrapText="1"/>
    </xf>
    <xf numFmtId="165" fontId="7" fillId="0" borderId="1" xfId="0" applyNumberFormat="1" applyFont="1" applyBorder="1" applyAlignment="1">
      <alignment horizontal="left" vertical="top"/>
    </xf>
    <xf numFmtId="14" fontId="7" fillId="0" borderId="1" xfId="0" applyNumberFormat="1" applyFont="1" applyBorder="1" applyAlignment="1">
      <alignment horizontal="left" vertical="top"/>
    </xf>
    <xf numFmtId="0" fontId="7" fillId="0" borderId="1" xfId="0" applyFont="1" applyBorder="1" applyAlignment="1">
      <alignment horizontal="left" vertical="top"/>
    </xf>
    <xf numFmtId="0" fontId="6" fillId="0" borderId="1" xfId="0" applyFont="1" applyBorder="1" applyAlignment="1">
      <alignment horizontal="left" vertical="top"/>
    </xf>
    <xf numFmtId="0" fontId="7" fillId="0" borderId="16" xfId="0" applyFont="1" applyBorder="1" applyAlignment="1">
      <alignment horizontal="left" vertical="top" wrapText="1"/>
    </xf>
    <xf numFmtId="165" fontId="6" fillId="0" borderId="1" xfId="0" applyNumberFormat="1" applyFont="1" applyBorder="1" applyAlignment="1">
      <alignment horizontal="left" vertical="top"/>
    </xf>
    <xf numFmtId="14" fontId="6" fillId="0" borderId="1" xfId="0" applyNumberFormat="1" applyFont="1" applyBorder="1" applyAlignment="1">
      <alignment horizontal="left" vertical="top" wrapText="1"/>
    </xf>
    <xf numFmtId="0" fontId="25" fillId="0" borderId="1" xfId="0" applyFont="1" applyBorder="1" applyAlignment="1">
      <alignment horizontal="left" vertical="top" wrapText="1"/>
    </xf>
    <xf numFmtId="4" fontId="25" fillId="0" borderId="1" xfId="0" applyNumberFormat="1" applyFont="1" applyBorder="1" applyAlignment="1" applyProtection="1">
      <alignment horizontal="left" vertical="top" wrapText="1"/>
      <protection locked="0"/>
    </xf>
    <xf numFmtId="165" fontId="6" fillId="0" borderId="1" xfId="0" applyNumberFormat="1" applyFont="1" applyBorder="1" applyAlignment="1">
      <alignment horizontal="left" vertical="top" wrapText="1"/>
    </xf>
    <xf numFmtId="0" fontId="10" fillId="0" borderId="0" xfId="0" applyFont="1" applyAlignment="1">
      <alignment vertical="top" wrapText="1"/>
    </xf>
    <xf numFmtId="14" fontId="6" fillId="0" borderId="1" xfId="0" applyNumberFormat="1" applyFont="1" applyBorder="1" applyAlignment="1">
      <alignment horizontal="left" vertical="top"/>
    </xf>
    <xf numFmtId="6" fontId="5" fillId="0" borderId="1" xfId="0" applyNumberFormat="1" applyFont="1" applyBorder="1" applyAlignment="1">
      <alignment vertical="top"/>
    </xf>
    <xf numFmtId="14" fontId="5" fillId="0" borderId="1" xfId="0" applyNumberFormat="1" applyFont="1" applyBorder="1" applyAlignment="1">
      <alignment vertical="top" wrapText="1"/>
    </xf>
    <xf numFmtId="0" fontId="12" fillId="0" borderId="1" xfId="0" applyFont="1" applyBorder="1" applyAlignment="1">
      <alignment vertical="top" wrapText="1"/>
    </xf>
    <xf numFmtId="0" fontId="25" fillId="0" borderId="1" xfId="0" applyFont="1" applyBorder="1" applyAlignment="1">
      <alignment vertical="top" wrapText="1"/>
    </xf>
    <xf numFmtId="0" fontId="5" fillId="0" borderId="1" xfId="0" applyFont="1" applyBorder="1" applyAlignment="1">
      <alignment vertical="top" wrapText="1"/>
    </xf>
    <xf numFmtId="0" fontId="8" fillId="0" borderId="1" xfId="0" applyFont="1" applyBorder="1" applyAlignment="1">
      <alignment horizontal="left" vertical="top"/>
    </xf>
    <xf numFmtId="167" fontId="5" fillId="0" borderId="1" xfId="0" applyNumberFormat="1" applyFont="1" applyBorder="1" applyAlignment="1">
      <alignment vertical="top"/>
    </xf>
    <xf numFmtId="0" fontId="26" fillId="0" borderId="16" xfId="0" applyFont="1" applyBorder="1" applyAlignment="1">
      <alignment vertical="top" wrapText="1"/>
    </xf>
    <xf numFmtId="0" fontId="26" fillId="0" borderId="4" xfId="0" applyFont="1" applyBorder="1" applyAlignment="1">
      <alignment vertical="top" wrapText="1"/>
    </xf>
    <xf numFmtId="0" fontId="27" fillId="0" borderId="11" xfId="0" applyFont="1" applyBorder="1" applyAlignment="1">
      <alignment horizontal="left" vertical="top" wrapText="1"/>
    </xf>
    <xf numFmtId="0" fontId="27" fillId="0" borderId="1" xfId="0" applyFont="1" applyBorder="1" applyAlignment="1" applyProtection="1">
      <alignment horizontal="left" vertical="top" wrapText="1"/>
      <protection locked="0"/>
    </xf>
    <xf numFmtId="0" fontId="26" fillId="0" borderId="1" xfId="0" applyFont="1" applyBorder="1" applyAlignment="1">
      <alignment vertical="top" wrapText="1"/>
    </xf>
    <xf numFmtId="0" fontId="27" fillId="0" borderId="1" xfId="0" applyFont="1" applyBorder="1" applyAlignment="1">
      <alignment vertical="top" wrapText="1"/>
    </xf>
    <xf numFmtId="0" fontId="26" fillId="0" borderId="1" xfId="0" applyFont="1" applyBorder="1" applyAlignment="1">
      <alignment horizontal="left" vertical="top" wrapText="1"/>
    </xf>
    <xf numFmtId="14" fontId="26" fillId="0" borderId="1" xfId="0" applyNumberFormat="1" applyFont="1" applyBorder="1" applyAlignment="1">
      <alignment horizontal="left" vertical="top" wrapText="1"/>
    </xf>
    <xf numFmtId="4" fontId="27" fillId="0" borderId="1" xfId="0" applyNumberFormat="1" applyFont="1" applyBorder="1" applyAlignment="1" applyProtection="1">
      <alignment horizontal="left" vertical="top" wrapText="1"/>
      <protection locked="0"/>
    </xf>
    <xf numFmtId="0" fontId="27" fillId="0" borderId="1" xfId="0" applyFont="1" applyBorder="1" applyAlignment="1">
      <alignment horizontal="left" vertical="top" wrapText="1"/>
    </xf>
    <xf numFmtId="0" fontId="27" fillId="0" borderId="16" xfId="0" applyFont="1" applyBorder="1" applyAlignment="1">
      <alignment horizontal="left" vertical="top" wrapText="1"/>
    </xf>
    <xf numFmtId="0" fontId="27" fillId="0" borderId="4" xfId="0" applyFont="1" applyBorder="1" applyAlignment="1">
      <alignment horizontal="left" vertical="top" wrapText="1"/>
    </xf>
    <xf numFmtId="0" fontId="26" fillId="0" borderId="1" xfId="0" applyFont="1" applyBorder="1" applyAlignment="1" applyProtection="1">
      <alignment horizontal="left" vertical="top" wrapText="1"/>
      <protection locked="0"/>
    </xf>
    <xf numFmtId="168" fontId="28" fillId="0" borderId="1" xfId="0" applyNumberFormat="1" applyFont="1" applyBorder="1" applyAlignment="1">
      <alignment horizontal="right" vertical="top" wrapText="1"/>
    </xf>
    <xf numFmtId="14" fontId="29" fillId="0" borderId="1" xfId="0" applyNumberFormat="1" applyFont="1" applyBorder="1" applyAlignment="1">
      <alignment horizontal="left" vertical="top" wrapText="1"/>
    </xf>
    <xf numFmtId="0" fontId="26" fillId="0" borderId="11" xfId="0" applyFont="1" applyBorder="1" applyAlignment="1">
      <alignment vertical="top" wrapText="1"/>
    </xf>
    <xf numFmtId="0" fontId="28" fillId="0" borderId="1" xfId="0" applyFont="1" applyBorder="1" applyAlignment="1">
      <alignment vertical="top" wrapText="1"/>
    </xf>
    <xf numFmtId="0" fontId="27" fillId="0" borderId="16" xfId="0" applyFont="1" applyBorder="1" applyAlignment="1">
      <alignment vertical="top" wrapText="1"/>
    </xf>
    <xf numFmtId="0" fontId="27" fillId="0" borderId="4" xfId="0" applyFont="1" applyBorder="1" applyAlignment="1">
      <alignment vertical="top" wrapText="1"/>
    </xf>
    <xf numFmtId="14" fontId="27" fillId="0" borderId="1" xfId="0" applyNumberFormat="1" applyFont="1" applyBorder="1" applyAlignment="1">
      <alignment horizontal="left" vertical="top" wrapText="1"/>
    </xf>
    <xf numFmtId="0" fontId="26" fillId="3" borderId="16" xfId="0" applyFont="1" applyFill="1" applyBorder="1" applyAlignment="1">
      <alignment horizontal="left" vertical="top" wrapText="1"/>
    </xf>
    <xf numFmtId="0" fontId="26" fillId="3" borderId="4" xfId="0" applyFont="1" applyFill="1" applyBorder="1" applyAlignment="1">
      <alignment horizontal="left" vertical="top" wrapText="1"/>
    </xf>
    <xf numFmtId="0" fontId="26" fillId="3" borderId="11" xfId="0" applyFont="1" applyFill="1" applyBorder="1" applyAlignment="1">
      <alignment vertical="top" wrapText="1"/>
    </xf>
    <xf numFmtId="0" fontId="27" fillId="3" borderId="1" xfId="0" applyFont="1" applyFill="1" applyBorder="1" applyAlignment="1" applyProtection="1">
      <alignment horizontal="left" vertical="top" wrapText="1"/>
      <protection locked="0"/>
    </xf>
    <xf numFmtId="0" fontId="27" fillId="3" borderId="1" xfId="0" applyFont="1" applyFill="1" applyBorder="1" applyAlignment="1">
      <alignment horizontal="left" vertical="top" wrapText="1"/>
    </xf>
    <xf numFmtId="168" fontId="26" fillId="3" borderId="1" xfId="0" applyNumberFormat="1" applyFont="1" applyFill="1" applyBorder="1" applyAlignment="1">
      <alignment horizontal="left" vertical="top" wrapText="1"/>
    </xf>
    <xf numFmtId="0" fontId="28" fillId="0" borderId="1" xfId="0" applyFont="1" applyBorder="1" applyAlignment="1">
      <alignment horizontal="right" vertical="top" wrapText="1"/>
    </xf>
    <xf numFmtId="14" fontId="29" fillId="3" borderId="1" xfId="0" applyNumberFormat="1" applyFont="1" applyFill="1" applyBorder="1" applyAlignment="1">
      <alignment horizontal="left" vertical="top" wrapText="1"/>
    </xf>
    <xf numFmtId="0" fontId="26" fillId="3" borderId="1" xfId="0" applyFont="1" applyFill="1" applyBorder="1" applyAlignment="1">
      <alignment horizontal="left" vertical="top" wrapText="1"/>
    </xf>
    <xf numFmtId="0" fontId="26" fillId="3" borderId="1" xfId="0" applyFont="1" applyFill="1" applyBorder="1" applyAlignment="1">
      <alignment vertical="top" wrapText="1"/>
    </xf>
    <xf numFmtId="0" fontId="31" fillId="3" borderId="1" xfId="0" applyFont="1" applyFill="1" applyBorder="1" applyAlignment="1" applyProtection="1">
      <alignment horizontal="left" vertical="top" wrapText="1"/>
      <protection locked="0"/>
    </xf>
    <xf numFmtId="168" fontId="26" fillId="0" borderId="1" xfId="0" applyNumberFormat="1" applyFont="1" applyBorder="1" applyAlignment="1">
      <alignment horizontal="left" vertical="top" wrapText="1"/>
    </xf>
    <xf numFmtId="0" fontId="27" fillId="3" borderId="16" xfId="0" applyFont="1" applyFill="1" applyBorder="1" applyAlignment="1">
      <alignment horizontal="left" vertical="top" wrapText="1"/>
    </xf>
    <xf numFmtId="0" fontId="27" fillId="3" borderId="4" xfId="0" applyFont="1" applyFill="1" applyBorder="1" applyAlignment="1">
      <alignment horizontal="left" vertical="top" wrapText="1"/>
    </xf>
    <xf numFmtId="0" fontId="27" fillId="3" borderId="11" xfId="0" applyFont="1" applyFill="1" applyBorder="1" applyAlignment="1">
      <alignment horizontal="left" vertical="top" wrapText="1"/>
    </xf>
    <xf numFmtId="168" fontId="26" fillId="3" borderId="1" xfId="0" applyNumberFormat="1" applyFont="1" applyFill="1" applyBorder="1" applyAlignment="1">
      <alignment horizontal="right" vertical="top" wrapText="1"/>
    </xf>
    <xf numFmtId="4" fontId="27" fillId="3" borderId="1" xfId="0" applyNumberFormat="1" applyFont="1" applyFill="1" applyBorder="1" applyAlignment="1" applyProtection="1">
      <alignment horizontal="left" vertical="top" wrapText="1"/>
      <protection locked="0"/>
    </xf>
    <xf numFmtId="0" fontId="26" fillId="3" borderId="16" xfId="0" applyFont="1" applyFill="1" applyBorder="1" applyAlignment="1">
      <alignment vertical="top" wrapText="1"/>
    </xf>
    <xf numFmtId="0" fontId="26" fillId="3" borderId="4" xfId="0" applyFont="1" applyFill="1" applyBorder="1" applyAlignment="1">
      <alignment vertical="top" wrapText="1"/>
    </xf>
    <xf numFmtId="14" fontId="26" fillId="3" borderId="1" xfId="0" applyNumberFormat="1" applyFont="1" applyFill="1" applyBorder="1" applyAlignment="1">
      <alignment horizontal="left" vertical="top" wrapText="1"/>
    </xf>
    <xf numFmtId="6" fontId="10" fillId="0" borderId="1" xfId="0" applyNumberFormat="1" applyFont="1" applyBorder="1" applyAlignment="1">
      <alignment vertical="top"/>
    </xf>
    <xf numFmtId="168" fontId="28" fillId="0" borderId="1" xfId="0" applyNumberFormat="1" applyFont="1" applyBorder="1" applyAlignment="1">
      <alignment horizontal="left" vertical="top" wrapText="1"/>
    </xf>
    <xf numFmtId="168" fontId="32" fillId="0" borderId="1" xfId="0" applyNumberFormat="1" applyFont="1" applyBorder="1" applyAlignment="1">
      <alignment horizontal="left" vertical="top" wrapText="1"/>
    </xf>
    <xf numFmtId="0" fontId="26" fillId="3" borderId="11" xfId="0" applyFont="1" applyFill="1" applyBorder="1" applyAlignment="1">
      <alignment horizontal="left" vertical="top" wrapText="1"/>
    </xf>
    <xf numFmtId="0" fontId="26" fillId="3" borderId="1" xfId="0" applyFont="1" applyFill="1" applyBorder="1" applyAlignment="1" applyProtection="1">
      <alignment horizontal="left" vertical="top" wrapText="1"/>
      <protection locked="0"/>
    </xf>
    <xf numFmtId="0" fontId="10" fillId="0" borderId="1" xfId="0" applyFont="1" applyBorder="1" applyAlignment="1">
      <alignment vertical="top"/>
    </xf>
    <xf numFmtId="0" fontId="28" fillId="0" borderId="1" xfId="0" applyFont="1" applyBorder="1" applyAlignment="1">
      <alignment horizontal="left" vertical="top" wrapText="1"/>
    </xf>
    <xf numFmtId="14" fontId="26" fillId="0" borderId="1" xfId="0" applyNumberFormat="1" applyFont="1" applyBorder="1" applyAlignment="1">
      <alignment horizontal="left" vertical="top"/>
    </xf>
    <xf numFmtId="0" fontId="26" fillId="3" borderId="1" xfId="0" applyFont="1" applyFill="1" applyBorder="1" applyAlignment="1">
      <alignment vertical="top"/>
    </xf>
    <xf numFmtId="0" fontId="26" fillId="0" borderId="1" xfId="0" applyFont="1" applyBorder="1" applyAlignment="1">
      <alignment vertical="top"/>
    </xf>
    <xf numFmtId="0" fontId="15" fillId="0" borderId="5" xfId="0" applyFont="1" applyBorder="1" applyAlignment="1">
      <alignment wrapText="1"/>
    </xf>
    <xf numFmtId="0" fontId="15" fillId="0" borderId="16" xfId="0" applyFont="1" applyBorder="1" applyAlignment="1">
      <alignment wrapText="1"/>
    </xf>
    <xf numFmtId="0" fontId="15" fillId="0" borderId="7" xfId="0" applyFont="1" applyBorder="1" applyAlignment="1"/>
    <xf numFmtId="0" fontId="15" fillId="0" borderId="4" xfId="0" applyFont="1" applyBorder="1" applyAlignment="1"/>
    <xf numFmtId="0" fontId="33" fillId="0" borderId="5" xfId="0" applyFont="1" applyBorder="1" applyAlignment="1">
      <alignment wrapText="1"/>
    </xf>
    <xf numFmtId="0" fontId="33" fillId="0" borderId="4" xfId="0" applyFont="1" applyBorder="1" applyAlignment="1">
      <alignment wrapText="1"/>
    </xf>
    <xf numFmtId="0" fontId="33" fillId="0" borderId="11" xfId="0" applyFont="1" applyBorder="1" applyAlignment="1">
      <alignment wrapText="1"/>
    </xf>
    <xf numFmtId="0" fontId="33" fillId="0" borderId="1" xfId="0" applyFont="1" applyBorder="1" applyAlignment="1">
      <alignment wrapText="1"/>
    </xf>
    <xf numFmtId="0" fontId="15" fillId="4" borderId="16" xfId="0" applyFont="1" applyFill="1" applyBorder="1" applyAlignment="1">
      <alignment wrapText="1"/>
    </xf>
    <xf numFmtId="0" fontId="15" fillId="4" borderId="4" xfId="0" applyFont="1" applyFill="1" applyBorder="1" applyAlignment="1">
      <alignment wrapText="1"/>
    </xf>
    <xf numFmtId="0" fontId="15" fillId="4" borderId="7" xfId="0" applyFont="1" applyFill="1" applyBorder="1" applyAlignment="1">
      <alignment wrapText="1"/>
    </xf>
    <xf numFmtId="0" fontId="15" fillId="4" borderId="1" xfId="0" applyFont="1" applyFill="1" applyBorder="1" applyAlignment="1"/>
    <xf numFmtId="0" fontId="15" fillId="4" borderId="4" xfId="0" applyFont="1" applyFill="1" applyBorder="1" applyAlignment="1"/>
    <xf numFmtId="0" fontId="15" fillId="4" borderId="1" xfId="0" applyFont="1" applyFill="1" applyBorder="1" applyAlignment="1">
      <alignment wrapText="1"/>
    </xf>
    <xf numFmtId="0" fontId="15" fillId="4" borderId="7" xfId="0" applyFont="1" applyFill="1" applyBorder="1" applyAlignment="1"/>
    <xf numFmtId="0" fontId="15" fillId="4" borderId="5" xfId="0" applyFont="1" applyFill="1" applyBorder="1" applyAlignment="1">
      <alignment wrapText="1"/>
    </xf>
    <xf numFmtId="0" fontId="15" fillId="4" borderId="11" xfId="0" applyFont="1" applyFill="1" applyBorder="1" applyAlignment="1">
      <alignment wrapText="1"/>
    </xf>
    <xf numFmtId="0" fontId="33" fillId="0" borderId="1" xfId="0" applyFont="1" applyBorder="1" applyAlignment="1"/>
    <xf numFmtId="0" fontId="34" fillId="0" borderId="1" xfId="0" applyFont="1" applyBorder="1" applyAlignment="1"/>
    <xf numFmtId="0" fontId="5" fillId="0" borderId="0" xfId="0" applyFont="1" applyAlignment="1">
      <alignment wrapText="1"/>
    </xf>
    <xf numFmtId="0" fontId="33" fillId="0" borderId="11" xfId="0" applyFont="1" applyBorder="1" applyAlignment="1"/>
    <xf numFmtId="0" fontId="5" fillId="0" borderId="4" xfId="0" applyFont="1" applyBorder="1" applyAlignment="1">
      <alignment wrapText="1"/>
    </xf>
    <xf numFmtId="0" fontId="33" fillId="0" borderId="7" xfId="0" applyFont="1" applyBorder="1" applyAlignment="1">
      <alignment wrapText="1"/>
    </xf>
    <xf numFmtId="0" fontId="33" fillId="0" borderId="15" xfId="0" applyFont="1" applyBorder="1" applyAlignment="1">
      <alignment wrapText="1"/>
    </xf>
    <xf numFmtId="0" fontId="4" fillId="2" borderId="0" xfId="0" applyFont="1" applyFill="1" applyBorder="1" applyAlignment="1">
      <alignment horizontal="center" vertical="center" wrapText="1"/>
    </xf>
    <xf numFmtId="0" fontId="10" fillId="0" borderId="7" xfId="0" applyFont="1" applyBorder="1" applyAlignment="1">
      <alignment vertical="top" wrapText="1"/>
    </xf>
    <xf numFmtId="0" fontId="26" fillId="0" borderId="7" xfId="0" applyFont="1" applyBorder="1" applyAlignment="1">
      <alignment vertical="top" wrapText="1"/>
    </xf>
    <xf numFmtId="0" fontId="27" fillId="0" borderId="7" xfId="0" applyFont="1" applyBorder="1" applyAlignment="1">
      <alignment horizontal="left" vertical="top" wrapText="1"/>
    </xf>
    <xf numFmtId="0" fontId="27" fillId="0" borderId="7" xfId="0" applyFont="1" applyBorder="1" applyAlignment="1">
      <alignment vertical="top" wrapText="1"/>
    </xf>
    <xf numFmtId="0" fontId="26" fillId="3" borderId="7" xfId="0" applyFont="1" applyFill="1" applyBorder="1" applyAlignment="1">
      <alignment horizontal="left" vertical="top" wrapText="1"/>
    </xf>
    <xf numFmtId="0" fontId="27" fillId="3" borderId="7" xfId="0" applyFont="1" applyFill="1" applyBorder="1" applyAlignment="1">
      <alignment horizontal="left" vertical="top" wrapText="1"/>
    </xf>
    <xf numFmtId="0" fontId="26" fillId="3" borderId="7" xfId="0" applyFont="1" applyFill="1" applyBorder="1" applyAlignment="1">
      <alignment vertical="top" wrapText="1"/>
    </xf>
    <xf numFmtId="0" fontId="5" fillId="0" borderId="7" xfId="0" applyFont="1" applyBorder="1" applyAlignment="1">
      <alignment wrapText="1"/>
    </xf>
    <xf numFmtId="0" fontId="33" fillId="0" borderId="13" xfId="0" applyFont="1" applyBorder="1" applyAlignment="1">
      <alignmen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F900-CA8E-4704-8C53-4BD6036D9EFE}">
  <dimension ref="A1:Y89"/>
  <sheetViews>
    <sheetView tabSelected="1" zoomScaleNormal="100" workbookViewId="0">
      <pane xSplit="2" ySplit="1" topLeftCell="C2" activePane="bottomRight" state="frozen"/>
      <selection pane="bottomRight" activeCell="F31" sqref="F31"/>
      <selection pane="bottomLeft" activeCell="A3" sqref="A3"/>
      <selection pane="topRight" activeCell="B1" sqref="B1"/>
    </sheetView>
  </sheetViews>
  <sheetFormatPr defaultColWidth="9.140625" defaultRowHeight="15" customHeight="1"/>
  <cols>
    <col min="1" max="1" width="22.42578125" style="13" customWidth="1"/>
    <col min="2" max="2" width="92.140625" style="214" customWidth="1"/>
    <col min="3" max="3" width="20.85546875" style="13" customWidth="1"/>
    <col min="4" max="4" width="21.42578125" style="13" customWidth="1"/>
    <col min="5" max="6" width="35.42578125" style="13" customWidth="1"/>
    <col min="7" max="7" width="17.42578125" style="13" customWidth="1"/>
    <col min="8" max="8" width="15.85546875" style="13" customWidth="1"/>
    <col min="9" max="9" width="21.42578125" style="13" customWidth="1"/>
    <col min="10" max="10" width="59.140625" style="13" customWidth="1"/>
    <col min="11" max="11" width="29" style="13" customWidth="1"/>
    <col min="12" max="12" width="62.7109375" style="13" customWidth="1"/>
    <col min="13" max="13" width="63.28515625" style="13" customWidth="1"/>
    <col min="14" max="14" width="37" style="13" customWidth="1"/>
    <col min="15" max="15" width="59.140625" style="13" customWidth="1"/>
    <col min="16" max="16" width="97" style="13" customWidth="1"/>
    <col min="17" max="17" width="87.140625" style="13" customWidth="1"/>
    <col min="18" max="18" width="27.42578125" style="13" customWidth="1"/>
    <col min="19" max="19" width="30.28515625" style="13" customWidth="1"/>
    <col min="20" max="20" width="44.5703125" style="13" customWidth="1"/>
    <col min="21" max="21" width="57.5703125" style="13" customWidth="1"/>
    <col min="22" max="22" width="86.5703125" style="13" customWidth="1"/>
    <col min="23" max="16384" width="9.140625" style="13"/>
  </cols>
  <sheetData>
    <row r="1" spans="1:22" ht="33" customHeight="1">
      <c r="A1" s="4" t="s">
        <v>0</v>
      </c>
      <c r="B1" s="5" t="s">
        <v>1</v>
      </c>
      <c r="C1" s="4" t="s">
        <v>2</v>
      </c>
      <c r="D1" s="4" t="s">
        <v>3</v>
      </c>
      <c r="E1" s="4" t="s">
        <v>4</v>
      </c>
      <c r="F1" s="219" t="s">
        <v>5</v>
      </c>
      <c r="G1" s="6" t="s">
        <v>6</v>
      </c>
      <c r="H1" s="7" t="s">
        <v>7</v>
      </c>
      <c r="I1" s="4" t="s">
        <v>8</v>
      </c>
      <c r="J1" s="7" t="s">
        <v>9</v>
      </c>
      <c r="K1" s="8" t="s">
        <v>10</v>
      </c>
      <c r="L1" s="8" t="s">
        <v>11</v>
      </c>
      <c r="M1" s="9" t="s">
        <v>12</v>
      </c>
      <c r="N1" s="7" t="s">
        <v>13</v>
      </c>
      <c r="O1" s="10" t="s">
        <v>14</v>
      </c>
      <c r="P1" s="7" t="s">
        <v>15</v>
      </c>
      <c r="Q1" s="7" t="s">
        <v>16</v>
      </c>
      <c r="R1" s="7" t="s">
        <v>17</v>
      </c>
      <c r="S1" s="7" t="s">
        <v>18</v>
      </c>
      <c r="T1" s="11" t="s">
        <v>19</v>
      </c>
      <c r="U1" s="11" t="s">
        <v>20</v>
      </c>
      <c r="V1" s="12" t="s">
        <v>21</v>
      </c>
    </row>
    <row r="2" spans="1:22" s="27" customFormat="1" ht="164.45" customHeight="1">
      <c r="A2" s="14" t="s">
        <v>22</v>
      </c>
      <c r="B2" s="15" t="s">
        <v>23</v>
      </c>
      <c r="C2" s="16" t="s">
        <v>24</v>
      </c>
      <c r="D2" s="16"/>
      <c r="E2" s="15"/>
      <c r="F2" s="16" t="s">
        <v>25</v>
      </c>
      <c r="G2" s="17" t="s">
        <v>26</v>
      </c>
      <c r="H2" s="18" t="s">
        <v>27</v>
      </c>
      <c r="I2" s="16" t="s">
        <v>28</v>
      </c>
      <c r="J2" s="19" t="s">
        <v>29</v>
      </c>
      <c r="K2" s="16" t="s">
        <v>30</v>
      </c>
      <c r="L2" s="16"/>
      <c r="M2" s="20">
        <v>1000000</v>
      </c>
      <c r="N2" s="21" t="s">
        <v>31</v>
      </c>
      <c r="O2" s="22"/>
      <c r="P2" s="16" t="s">
        <v>32</v>
      </c>
      <c r="Q2" s="23"/>
      <c r="R2" s="24" t="s">
        <v>33</v>
      </c>
      <c r="S2" s="16" t="s">
        <v>34</v>
      </c>
      <c r="T2" s="25" t="s">
        <v>35</v>
      </c>
      <c r="U2" s="26" t="s">
        <v>36</v>
      </c>
      <c r="V2" s="16" t="s">
        <v>37</v>
      </c>
    </row>
    <row r="3" spans="1:22" s="27" customFormat="1" ht="148.69999999999999" customHeight="1">
      <c r="A3" s="14" t="s">
        <v>22</v>
      </c>
      <c r="B3" s="15" t="s">
        <v>38</v>
      </c>
      <c r="C3" s="16"/>
      <c r="D3" s="16"/>
      <c r="E3" s="15"/>
      <c r="F3" s="16" t="s">
        <v>25</v>
      </c>
      <c r="G3" s="17" t="s">
        <v>26</v>
      </c>
      <c r="H3" s="18" t="s">
        <v>39</v>
      </c>
      <c r="I3" s="16" t="s">
        <v>28</v>
      </c>
      <c r="J3" s="19" t="s">
        <v>40</v>
      </c>
      <c r="K3" s="16" t="s">
        <v>41</v>
      </c>
      <c r="L3" s="16" t="s">
        <v>42</v>
      </c>
      <c r="M3" s="20" t="s">
        <v>43</v>
      </c>
      <c r="N3" s="21" t="s">
        <v>44</v>
      </c>
      <c r="O3" s="22" t="s">
        <v>45</v>
      </c>
      <c r="P3" s="16" t="s">
        <v>46</v>
      </c>
      <c r="Q3" s="23" t="s">
        <v>47</v>
      </c>
      <c r="R3" s="29" t="s">
        <v>48</v>
      </c>
      <c r="S3" s="16" t="s">
        <v>49</v>
      </c>
      <c r="T3" s="28"/>
      <c r="U3" s="26" t="s">
        <v>50</v>
      </c>
      <c r="V3" s="16" t="s">
        <v>51</v>
      </c>
    </row>
    <row r="4" spans="1:22" s="27" customFormat="1" ht="167.45" customHeight="1">
      <c r="A4" s="14" t="s">
        <v>22</v>
      </c>
      <c r="B4" s="15" t="s">
        <v>52</v>
      </c>
      <c r="C4" s="16"/>
      <c r="D4" s="16"/>
      <c r="E4" s="15"/>
      <c r="F4" s="16" t="s">
        <v>25</v>
      </c>
      <c r="G4" s="17" t="s">
        <v>26</v>
      </c>
      <c r="H4" s="18" t="s">
        <v>27</v>
      </c>
      <c r="I4" s="16" t="s">
        <v>53</v>
      </c>
      <c r="J4" s="19" t="s">
        <v>54</v>
      </c>
      <c r="K4" s="16" t="s">
        <v>55</v>
      </c>
      <c r="L4" s="14" t="s">
        <v>56</v>
      </c>
      <c r="M4" s="30" t="s">
        <v>57</v>
      </c>
      <c r="N4" s="21" t="s">
        <v>58</v>
      </c>
      <c r="O4" s="22" t="s">
        <v>59</v>
      </c>
      <c r="P4" s="14"/>
      <c r="Q4" s="23"/>
      <c r="R4" s="23" t="s">
        <v>60</v>
      </c>
      <c r="S4" s="16" t="s">
        <v>61</v>
      </c>
      <c r="T4" s="28"/>
      <c r="U4" s="31" t="s">
        <v>62</v>
      </c>
      <c r="V4" s="14"/>
    </row>
    <row r="5" spans="1:22" s="27" customFormat="1" ht="189" customHeight="1">
      <c r="A5" s="14" t="s">
        <v>22</v>
      </c>
      <c r="B5" s="32" t="s">
        <v>63</v>
      </c>
      <c r="C5" s="33"/>
      <c r="D5" s="33"/>
      <c r="E5" s="32"/>
      <c r="F5" s="16" t="s">
        <v>25</v>
      </c>
      <c r="G5" s="17" t="s">
        <v>0</v>
      </c>
      <c r="H5" s="18" t="s">
        <v>64</v>
      </c>
      <c r="I5" s="33"/>
      <c r="J5" s="34" t="s">
        <v>65</v>
      </c>
      <c r="K5" s="16" t="s">
        <v>66</v>
      </c>
      <c r="L5" s="16" t="s">
        <v>67</v>
      </c>
      <c r="M5" s="20">
        <v>86000</v>
      </c>
      <c r="N5" s="21" t="s">
        <v>44</v>
      </c>
      <c r="O5" s="22" t="s">
        <v>68</v>
      </c>
      <c r="P5" s="16" t="s">
        <v>69</v>
      </c>
      <c r="Q5" s="23" t="s">
        <v>70</v>
      </c>
      <c r="R5" s="23"/>
      <c r="S5" s="14" t="s">
        <v>71</v>
      </c>
      <c r="T5" s="25" t="s">
        <v>72</v>
      </c>
      <c r="U5" s="26" t="s">
        <v>73</v>
      </c>
      <c r="V5" s="16" t="s">
        <v>74</v>
      </c>
    </row>
    <row r="6" spans="1:22" s="27" customFormat="1" ht="100.5" customHeight="1">
      <c r="A6" s="14" t="s">
        <v>22</v>
      </c>
      <c r="B6" s="32" t="s">
        <v>75</v>
      </c>
      <c r="C6" s="33"/>
      <c r="D6" s="33"/>
      <c r="E6" s="32"/>
      <c r="F6" s="16" t="s">
        <v>25</v>
      </c>
      <c r="G6" s="36" t="s">
        <v>76</v>
      </c>
      <c r="H6" s="37" t="s">
        <v>64</v>
      </c>
      <c r="I6" s="33"/>
      <c r="J6" s="34" t="s">
        <v>77</v>
      </c>
      <c r="K6" s="33" t="s">
        <v>78</v>
      </c>
      <c r="L6" s="33" t="s">
        <v>79</v>
      </c>
      <c r="M6" s="38" t="s">
        <v>80</v>
      </c>
      <c r="N6" s="39"/>
      <c r="O6" s="40"/>
      <c r="P6" s="33"/>
      <c r="Q6" s="24"/>
      <c r="R6" s="24"/>
      <c r="S6" s="41" t="s">
        <v>71</v>
      </c>
      <c r="T6" s="42"/>
      <c r="U6" s="35"/>
      <c r="V6" s="43" t="s">
        <v>81</v>
      </c>
    </row>
    <row r="7" spans="1:22" s="27" customFormat="1" ht="160.35" customHeight="1">
      <c r="A7" s="14" t="s">
        <v>22</v>
      </c>
      <c r="B7" s="32" t="s">
        <v>82</v>
      </c>
      <c r="C7" s="33"/>
      <c r="D7" s="33"/>
      <c r="E7" s="32"/>
      <c r="F7" s="16" t="s">
        <v>25</v>
      </c>
      <c r="G7" s="17" t="s">
        <v>26</v>
      </c>
      <c r="H7" s="18" t="s">
        <v>20</v>
      </c>
      <c r="I7" s="33"/>
      <c r="J7" s="34" t="s">
        <v>83</v>
      </c>
      <c r="K7" s="16" t="s">
        <v>84</v>
      </c>
      <c r="L7" s="14"/>
      <c r="M7" s="30" t="s">
        <v>85</v>
      </c>
      <c r="N7" s="21" t="s">
        <v>27</v>
      </c>
      <c r="O7" s="44"/>
      <c r="P7" s="14"/>
      <c r="Q7" s="23"/>
      <c r="R7" s="29" t="s">
        <v>86</v>
      </c>
      <c r="S7" s="16" t="s">
        <v>87</v>
      </c>
      <c r="T7" s="28"/>
      <c r="U7" s="31" t="s">
        <v>88</v>
      </c>
      <c r="V7" s="16" t="s">
        <v>89</v>
      </c>
    </row>
    <row r="8" spans="1:22" s="27" customFormat="1" ht="204" customHeight="1">
      <c r="A8" s="14" t="s">
        <v>22</v>
      </c>
      <c r="B8" s="32" t="s">
        <v>90</v>
      </c>
      <c r="C8" s="33"/>
      <c r="D8" s="33"/>
      <c r="E8" s="32"/>
      <c r="F8" s="16" t="s">
        <v>25</v>
      </c>
      <c r="G8" s="17" t="s">
        <v>76</v>
      </c>
      <c r="H8" s="18" t="s">
        <v>20</v>
      </c>
      <c r="I8" s="33"/>
      <c r="J8" s="34" t="s">
        <v>91</v>
      </c>
      <c r="K8" s="16" t="s">
        <v>92</v>
      </c>
      <c r="L8" s="14"/>
      <c r="M8" s="20" t="s">
        <v>93</v>
      </c>
      <c r="N8" s="21"/>
      <c r="O8" s="44"/>
      <c r="P8" s="33" t="s">
        <v>94</v>
      </c>
      <c r="Q8" s="23" t="s">
        <v>95</v>
      </c>
      <c r="R8" s="23" t="s">
        <v>96</v>
      </c>
      <c r="S8" s="14" t="s">
        <v>97</v>
      </c>
      <c r="T8" s="28"/>
      <c r="U8" s="31" t="s">
        <v>98</v>
      </c>
      <c r="V8" s="14"/>
    </row>
    <row r="9" spans="1:22" s="27" customFormat="1" ht="89.45" customHeight="1">
      <c r="A9" s="14" t="s">
        <v>22</v>
      </c>
      <c r="B9" s="32" t="s">
        <v>99</v>
      </c>
      <c r="C9" s="33"/>
      <c r="D9" s="33"/>
      <c r="E9" s="32"/>
      <c r="F9" s="16" t="s">
        <v>25</v>
      </c>
      <c r="G9" s="17" t="s">
        <v>26</v>
      </c>
      <c r="H9" s="18" t="s">
        <v>27</v>
      </c>
      <c r="I9" s="33"/>
      <c r="J9" s="19" t="s">
        <v>100</v>
      </c>
      <c r="K9" s="33" t="s">
        <v>101</v>
      </c>
      <c r="L9" s="33" t="s">
        <v>102</v>
      </c>
      <c r="M9" s="45" t="s">
        <v>103</v>
      </c>
      <c r="N9" s="21" t="s">
        <v>44</v>
      </c>
      <c r="O9" s="44"/>
      <c r="P9" s="14"/>
      <c r="Q9" s="24" t="s">
        <v>104</v>
      </c>
      <c r="R9" s="24" t="s">
        <v>105</v>
      </c>
      <c r="S9" s="16" t="s">
        <v>106</v>
      </c>
      <c r="T9" s="28"/>
      <c r="U9" s="46" t="s">
        <v>62</v>
      </c>
      <c r="V9" s="14"/>
    </row>
    <row r="10" spans="1:22" s="27" customFormat="1" ht="89.45" customHeight="1">
      <c r="A10" s="14" t="s">
        <v>22</v>
      </c>
      <c r="B10" s="32" t="s">
        <v>107</v>
      </c>
      <c r="C10" s="33"/>
      <c r="D10" s="33"/>
      <c r="E10" s="32"/>
      <c r="F10" s="16" t="s">
        <v>25</v>
      </c>
      <c r="G10" s="17" t="s">
        <v>76</v>
      </c>
      <c r="H10" s="18" t="s">
        <v>20</v>
      </c>
      <c r="I10" s="33"/>
      <c r="J10" s="19" t="s">
        <v>108</v>
      </c>
      <c r="K10" s="33" t="s">
        <v>109</v>
      </c>
      <c r="L10" s="41" t="s">
        <v>110</v>
      </c>
      <c r="M10" s="20"/>
      <c r="N10" s="21"/>
      <c r="O10" s="40" t="s">
        <v>111</v>
      </c>
      <c r="P10" s="33" t="s">
        <v>112</v>
      </c>
      <c r="Q10" s="24" t="s">
        <v>113</v>
      </c>
      <c r="R10" s="24" t="s">
        <v>95</v>
      </c>
      <c r="S10" s="16" t="s">
        <v>114</v>
      </c>
      <c r="T10" s="47" t="s">
        <v>95</v>
      </c>
      <c r="U10" s="35" t="s">
        <v>115</v>
      </c>
      <c r="V10" s="14"/>
    </row>
    <row r="11" spans="1:22" s="27" customFormat="1" ht="89.45" customHeight="1">
      <c r="A11" s="14" t="s">
        <v>22</v>
      </c>
      <c r="B11" s="32" t="s">
        <v>116</v>
      </c>
      <c r="C11" s="33"/>
      <c r="D11" s="33"/>
      <c r="E11" s="32"/>
      <c r="F11" s="16" t="s">
        <v>25</v>
      </c>
      <c r="G11" s="17" t="s">
        <v>26</v>
      </c>
      <c r="H11" s="18" t="s">
        <v>117</v>
      </c>
      <c r="I11" s="33"/>
      <c r="J11" s="19" t="s">
        <v>118</v>
      </c>
      <c r="K11" s="16" t="s">
        <v>119</v>
      </c>
      <c r="L11" s="14" t="s">
        <v>120</v>
      </c>
      <c r="M11" s="20" t="s">
        <v>121</v>
      </c>
      <c r="N11" s="21" t="s">
        <v>44</v>
      </c>
      <c r="O11" s="44"/>
      <c r="P11" s="14"/>
      <c r="Q11" s="23" t="s">
        <v>122</v>
      </c>
      <c r="R11" s="23"/>
      <c r="S11" s="14" t="s">
        <v>123</v>
      </c>
      <c r="T11" s="28"/>
      <c r="U11" s="31"/>
      <c r="V11" s="14"/>
    </row>
    <row r="12" spans="1:22" s="27" customFormat="1" ht="89.45" customHeight="1">
      <c r="A12" s="14" t="s">
        <v>22</v>
      </c>
      <c r="B12" s="32" t="s">
        <v>124</v>
      </c>
      <c r="C12" s="33"/>
      <c r="D12" s="33"/>
      <c r="E12" s="32"/>
      <c r="F12" s="16" t="s">
        <v>25</v>
      </c>
      <c r="G12" s="17" t="s">
        <v>26</v>
      </c>
      <c r="H12" s="18" t="s">
        <v>20</v>
      </c>
      <c r="I12" s="33"/>
      <c r="J12" s="19" t="s">
        <v>125</v>
      </c>
      <c r="K12" s="16" t="s">
        <v>126</v>
      </c>
      <c r="L12" s="14"/>
      <c r="M12" s="30" t="s">
        <v>127</v>
      </c>
      <c r="N12" s="21"/>
      <c r="O12" s="44"/>
      <c r="P12" s="16" t="s">
        <v>128</v>
      </c>
      <c r="Q12" s="23" t="s">
        <v>113</v>
      </c>
      <c r="R12" s="23" t="s">
        <v>95</v>
      </c>
      <c r="S12" s="14" t="s">
        <v>123</v>
      </c>
      <c r="T12" s="28"/>
      <c r="U12" s="31"/>
      <c r="V12" s="14"/>
    </row>
    <row r="13" spans="1:22" s="27" customFormat="1" ht="148.35" customHeight="1">
      <c r="A13" s="14" t="s">
        <v>22</v>
      </c>
      <c r="B13" s="32" t="s">
        <v>129</v>
      </c>
      <c r="C13" s="33"/>
      <c r="D13" s="33"/>
      <c r="E13" s="32"/>
      <c r="F13" s="16" t="s">
        <v>25</v>
      </c>
      <c r="G13" s="17" t="s">
        <v>26</v>
      </c>
      <c r="H13" s="18" t="s">
        <v>39</v>
      </c>
      <c r="I13" s="33"/>
      <c r="J13" s="19" t="s">
        <v>130</v>
      </c>
      <c r="K13" s="16" t="s">
        <v>131</v>
      </c>
      <c r="L13" s="16" t="s">
        <v>132</v>
      </c>
      <c r="M13" s="30" t="s">
        <v>133</v>
      </c>
      <c r="N13" s="21" t="s">
        <v>27</v>
      </c>
      <c r="O13" s="22" t="s">
        <v>134</v>
      </c>
      <c r="P13" s="16" t="s">
        <v>135</v>
      </c>
      <c r="Q13" s="23" t="s">
        <v>122</v>
      </c>
      <c r="R13" s="23"/>
      <c r="S13" s="16" t="s">
        <v>136</v>
      </c>
      <c r="T13" s="28"/>
      <c r="U13" s="31" t="s">
        <v>137</v>
      </c>
      <c r="V13" s="16" t="s">
        <v>138</v>
      </c>
    </row>
    <row r="14" spans="1:22" s="27" customFormat="1" ht="89.45" customHeight="1">
      <c r="A14" s="14" t="s">
        <v>22</v>
      </c>
      <c r="B14" s="32" t="s">
        <v>139</v>
      </c>
      <c r="C14" s="33"/>
      <c r="D14" s="33"/>
      <c r="E14" s="32"/>
      <c r="F14" s="16" t="s">
        <v>25</v>
      </c>
      <c r="G14" s="17" t="s">
        <v>26</v>
      </c>
      <c r="H14" s="18" t="s">
        <v>39</v>
      </c>
      <c r="I14" s="33"/>
      <c r="J14" s="19" t="s">
        <v>140</v>
      </c>
      <c r="K14" s="16" t="s">
        <v>141</v>
      </c>
      <c r="L14" s="14"/>
      <c r="M14" s="20" t="s">
        <v>142</v>
      </c>
      <c r="N14" s="21"/>
      <c r="O14" s="22" t="s">
        <v>143</v>
      </c>
      <c r="P14" s="16" t="s">
        <v>144</v>
      </c>
      <c r="Q14" s="23" t="s">
        <v>113</v>
      </c>
      <c r="R14" s="23" t="s">
        <v>24</v>
      </c>
      <c r="S14" s="14" t="s">
        <v>145</v>
      </c>
      <c r="T14" s="28"/>
      <c r="U14" s="31" t="s">
        <v>137</v>
      </c>
      <c r="V14" s="16" t="s">
        <v>146</v>
      </c>
    </row>
    <row r="15" spans="1:22" ht="409.6">
      <c r="A15" s="48" t="s">
        <v>147</v>
      </c>
      <c r="B15" s="49" t="s">
        <v>148</v>
      </c>
      <c r="C15" s="50"/>
      <c r="D15" s="50"/>
      <c r="E15" s="49"/>
      <c r="F15" s="50" t="s">
        <v>149</v>
      </c>
      <c r="G15" s="36" t="s">
        <v>0</v>
      </c>
      <c r="H15" s="37" t="s">
        <v>117</v>
      </c>
      <c r="I15" s="50"/>
      <c r="J15" s="51" t="s">
        <v>150</v>
      </c>
      <c r="K15" s="52" t="s">
        <v>151</v>
      </c>
      <c r="L15" s="52" t="s">
        <v>152</v>
      </c>
      <c r="M15" s="53" t="s">
        <v>153</v>
      </c>
      <c r="N15" s="54" t="s">
        <v>154</v>
      </c>
      <c r="O15" s="53" t="s">
        <v>153</v>
      </c>
      <c r="P15" s="52" t="s">
        <v>155</v>
      </c>
      <c r="Q15" s="55">
        <v>45962</v>
      </c>
      <c r="R15" s="55" t="s">
        <v>153</v>
      </c>
      <c r="S15" s="52" t="s">
        <v>156</v>
      </c>
      <c r="T15" s="52" t="s">
        <v>157</v>
      </c>
      <c r="U15" s="56" t="s">
        <v>153</v>
      </c>
      <c r="V15" s="52"/>
    </row>
    <row r="16" spans="1:22" ht="142.5" customHeight="1">
      <c r="A16" s="48" t="s">
        <v>147</v>
      </c>
      <c r="B16" s="57" t="s">
        <v>158</v>
      </c>
      <c r="C16" s="58"/>
      <c r="D16" s="58"/>
      <c r="E16" s="57"/>
      <c r="F16" s="50" t="s">
        <v>149</v>
      </c>
      <c r="G16" s="36" t="s">
        <v>0</v>
      </c>
      <c r="H16" s="37" t="s">
        <v>27</v>
      </c>
      <c r="I16" s="58"/>
      <c r="J16" s="59" t="s">
        <v>159</v>
      </c>
      <c r="K16" s="52" t="s">
        <v>160</v>
      </c>
      <c r="L16" s="52" t="s">
        <v>161</v>
      </c>
      <c r="M16" s="53" t="s">
        <v>153</v>
      </c>
      <c r="N16" s="54" t="s">
        <v>154</v>
      </c>
      <c r="O16" s="53" t="s">
        <v>153</v>
      </c>
      <c r="P16" s="60" t="s">
        <v>162</v>
      </c>
      <c r="Q16" s="55" t="s">
        <v>153</v>
      </c>
      <c r="R16" s="55" t="s">
        <v>153</v>
      </c>
      <c r="S16" s="55" t="s">
        <v>153</v>
      </c>
      <c r="T16" s="55" t="s">
        <v>153</v>
      </c>
      <c r="U16" s="55" t="s">
        <v>153</v>
      </c>
      <c r="V16" s="52"/>
    </row>
    <row r="17" spans="1:22" ht="317.25" customHeight="1">
      <c r="A17" s="48" t="s">
        <v>147</v>
      </c>
      <c r="B17" s="61" t="s">
        <v>163</v>
      </c>
      <c r="C17" s="62"/>
      <c r="D17" s="62"/>
      <c r="E17" s="61"/>
      <c r="F17" s="50" t="s">
        <v>149</v>
      </c>
      <c r="G17" s="36" t="s">
        <v>0</v>
      </c>
      <c r="H17" s="37" t="s">
        <v>39</v>
      </c>
      <c r="I17" s="62"/>
      <c r="J17" s="59" t="s">
        <v>164</v>
      </c>
      <c r="K17" s="52" t="s">
        <v>165</v>
      </c>
      <c r="L17" s="52" t="s">
        <v>166</v>
      </c>
      <c r="M17" s="53" t="s">
        <v>153</v>
      </c>
      <c r="N17" s="54" t="s">
        <v>27</v>
      </c>
      <c r="O17" s="53" t="s">
        <v>153</v>
      </c>
      <c r="P17" s="52" t="s">
        <v>167</v>
      </c>
      <c r="Q17" s="55">
        <v>45992</v>
      </c>
      <c r="R17" s="55" t="s">
        <v>168</v>
      </c>
      <c r="S17" s="52" t="s">
        <v>169</v>
      </c>
      <c r="T17" s="63" t="s">
        <v>153</v>
      </c>
      <c r="U17" s="56" t="s">
        <v>153</v>
      </c>
      <c r="V17" s="52"/>
    </row>
    <row r="18" spans="1:22" ht="97.5" customHeight="1">
      <c r="A18" s="48" t="s">
        <v>147</v>
      </c>
      <c r="B18" s="61" t="s">
        <v>170</v>
      </c>
      <c r="C18" s="62"/>
      <c r="D18" s="62"/>
      <c r="E18" s="61"/>
      <c r="F18" s="50" t="s">
        <v>149</v>
      </c>
      <c r="G18" s="36" t="s">
        <v>0</v>
      </c>
      <c r="H18" s="37" t="s">
        <v>39</v>
      </c>
      <c r="I18" s="62"/>
      <c r="J18" s="59" t="s">
        <v>171</v>
      </c>
      <c r="K18" s="52" t="s">
        <v>172</v>
      </c>
      <c r="L18" s="52" t="s">
        <v>173</v>
      </c>
      <c r="M18" s="53" t="s">
        <v>174</v>
      </c>
      <c r="N18" s="54"/>
      <c r="O18" s="53" t="s">
        <v>153</v>
      </c>
      <c r="P18" s="52" t="s">
        <v>175</v>
      </c>
      <c r="Q18" s="55">
        <v>45931</v>
      </c>
      <c r="R18" s="55" t="s">
        <v>153</v>
      </c>
      <c r="S18" s="52" t="s">
        <v>169</v>
      </c>
      <c r="T18" s="63" t="s">
        <v>153</v>
      </c>
      <c r="U18" s="56" t="s">
        <v>153</v>
      </c>
      <c r="V18" s="52"/>
    </row>
    <row r="19" spans="1:22" ht="123.75" customHeight="1">
      <c r="A19" s="48" t="s">
        <v>147</v>
      </c>
      <c r="B19" s="61" t="s">
        <v>176</v>
      </c>
      <c r="C19" s="62"/>
      <c r="D19" s="62"/>
      <c r="E19" s="61"/>
      <c r="F19" s="50" t="s">
        <v>149</v>
      </c>
      <c r="G19" s="64" t="s">
        <v>0</v>
      </c>
      <c r="H19" s="65" t="s">
        <v>39</v>
      </c>
      <c r="I19" s="62"/>
      <c r="J19" s="66" t="s">
        <v>177</v>
      </c>
      <c r="K19" s="52" t="s">
        <v>178</v>
      </c>
      <c r="L19" s="52" t="s">
        <v>179</v>
      </c>
      <c r="M19" s="53" t="s">
        <v>153</v>
      </c>
      <c r="N19" s="54"/>
      <c r="O19" s="53" t="s">
        <v>153</v>
      </c>
      <c r="P19" s="52" t="s">
        <v>180</v>
      </c>
      <c r="Q19" s="55">
        <v>45931</v>
      </c>
      <c r="R19" s="55" t="s">
        <v>95</v>
      </c>
      <c r="S19" s="52" t="s">
        <v>181</v>
      </c>
      <c r="T19" s="63" t="s">
        <v>182</v>
      </c>
      <c r="U19" s="56" t="s">
        <v>183</v>
      </c>
      <c r="V19" s="52"/>
    </row>
    <row r="20" spans="1:22" ht="48" customHeight="1">
      <c r="A20" s="48" t="s">
        <v>147</v>
      </c>
      <c r="B20" s="67" t="s">
        <v>184</v>
      </c>
      <c r="C20" s="68"/>
      <c r="D20" s="68"/>
      <c r="E20" s="67"/>
      <c r="F20" s="50" t="s">
        <v>149</v>
      </c>
      <c r="G20" s="36" t="s">
        <v>26</v>
      </c>
      <c r="H20" s="69"/>
      <c r="I20" s="68"/>
      <c r="J20" s="51" t="s">
        <v>185</v>
      </c>
      <c r="K20" s="51" t="s">
        <v>186</v>
      </c>
      <c r="L20" s="59" t="s">
        <v>187</v>
      </c>
      <c r="M20" s="51" t="s">
        <v>153</v>
      </c>
      <c r="N20" s="51" t="s">
        <v>153</v>
      </c>
      <c r="O20" s="51" t="s">
        <v>153</v>
      </c>
      <c r="P20" s="51" t="s">
        <v>153</v>
      </c>
      <c r="Q20" s="51" t="s">
        <v>153</v>
      </c>
      <c r="R20" s="51" t="s">
        <v>153</v>
      </c>
      <c r="S20" s="51" t="s">
        <v>153</v>
      </c>
      <c r="T20" s="51" t="s">
        <v>153</v>
      </c>
      <c r="U20" s="51" t="s">
        <v>153</v>
      </c>
      <c r="V20" s="69"/>
    </row>
    <row r="21" spans="1:22" ht="159">
      <c r="A21" s="48" t="s">
        <v>188</v>
      </c>
      <c r="B21" s="70" t="s">
        <v>189</v>
      </c>
      <c r="C21" s="71"/>
      <c r="D21" s="71"/>
      <c r="E21" s="70"/>
      <c r="F21" s="71" t="s">
        <v>25</v>
      </c>
      <c r="G21" s="72" t="s">
        <v>76</v>
      </c>
      <c r="H21" s="73" t="s">
        <v>190</v>
      </c>
      <c r="I21" s="71"/>
      <c r="J21" s="74" t="s">
        <v>191</v>
      </c>
      <c r="K21" s="73" t="s">
        <v>192</v>
      </c>
      <c r="L21" s="73" t="s">
        <v>193</v>
      </c>
      <c r="M21" s="75" t="s">
        <v>194</v>
      </c>
      <c r="N21" s="75" t="s">
        <v>154</v>
      </c>
      <c r="O21" s="76" t="s">
        <v>195</v>
      </c>
      <c r="P21" s="73" t="s">
        <v>196</v>
      </c>
      <c r="Q21" s="77">
        <v>45839</v>
      </c>
      <c r="R21" s="75" t="s">
        <v>95</v>
      </c>
      <c r="S21" s="73" t="s">
        <v>197</v>
      </c>
      <c r="T21" s="73" t="s">
        <v>198</v>
      </c>
      <c r="U21" s="75" t="s">
        <v>199</v>
      </c>
      <c r="V21" s="74" t="s">
        <v>200</v>
      </c>
    </row>
    <row r="22" spans="1:22" ht="136.5">
      <c r="A22" s="48" t="s">
        <v>188</v>
      </c>
      <c r="B22" s="70" t="s">
        <v>201</v>
      </c>
      <c r="C22" s="71"/>
      <c r="D22" s="71"/>
      <c r="E22" s="70"/>
      <c r="F22" s="71" t="s">
        <v>25</v>
      </c>
      <c r="G22" s="72" t="s">
        <v>76</v>
      </c>
      <c r="H22" s="73" t="s">
        <v>190</v>
      </c>
      <c r="I22" s="71"/>
      <c r="J22" s="74" t="s">
        <v>202</v>
      </c>
      <c r="K22" s="73" t="s">
        <v>203</v>
      </c>
      <c r="L22" s="73" t="s">
        <v>204</v>
      </c>
      <c r="M22" s="73" t="s">
        <v>205</v>
      </c>
      <c r="N22" s="73" t="s">
        <v>154</v>
      </c>
      <c r="O22" s="74" t="s">
        <v>206</v>
      </c>
      <c r="P22" s="74" t="s">
        <v>207</v>
      </c>
      <c r="Q22" s="73" t="s">
        <v>208</v>
      </c>
      <c r="R22" s="73" t="s">
        <v>209</v>
      </c>
      <c r="S22" s="73" t="s">
        <v>210</v>
      </c>
      <c r="T22" s="74" t="s">
        <v>211</v>
      </c>
      <c r="U22" s="73" t="s">
        <v>212</v>
      </c>
      <c r="V22" s="78" t="s">
        <v>213</v>
      </c>
    </row>
    <row r="23" spans="1:22" ht="272.25">
      <c r="A23" s="48" t="s">
        <v>188</v>
      </c>
      <c r="B23" s="79" t="s">
        <v>214</v>
      </c>
      <c r="C23" s="80"/>
      <c r="D23" s="80"/>
      <c r="E23" s="79"/>
      <c r="F23" s="71" t="s">
        <v>25</v>
      </c>
      <c r="G23" s="72" t="s">
        <v>76</v>
      </c>
      <c r="H23" s="73" t="s">
        <v>117</v>
      </c>
      <c r="I23" s="80"/>
      <c r="J23" s="74" t="s">
        <v>215</v>
      </c>
      <c r="K23" s="74" t="s">
        <v>216</v>
      </c>
      <c r="L23" s="73" t="s">
        <v>217</v>
      </c>
      <c r="M23" s="73" t="s">
        <v>218</v>
      </c>
      <c r="N23" s="73" t="s">
        <v>154</v>
      </c>
      <c r="O23" s="74" t="s">
        <v>219</v>
      </c>
      <c r="P23" s="73" t="s">
        <v>220</v>
      </c>
      <c r="Q23" s="73" t="s">
        <v>221</v>
      </c>
      <c r="R23" s="73" t="s">
        <v>222</v>
      </c>
      <c r="S23" s="73" t="s">
        <v>223</v>
      </c>
      <c r="T23" s="73" t="s">
        <v>224</v>
      </c>
      <c r="U23" s="73" t="s">
        <v>225</v>
      </c>
      <c r="V23" s="73" t="s">
        <v>226</v>
      </c>
    </row>
    <row r="24" spans="1:22" ht="181.5">
      <c r="A24" s="48" t="s">
        <v>188</v>
      </c>
      <c r="B24" s="79" t="s">
        <v>227</v>
      </c>
      <c r="C24" s="80"/>
      <c r="D24" s="80"/>
      <c r="E24" s="79"/>
      <c r="F24" s="71" t="s">
        <v>25</v>
      </c>
      <c r="G24" s="72" t="s">
        <v>26</v>
      </c>
      <c r="H24" s="73" t="s">
        <v>39</v>
      </c>
      <c r="I24" s="80"/>
      <c r="J24" s="74" t="s">
        <v>228</v>
      </c>
      <c r="K24" s="73" t="s">
        <v>229</v>
      </c>
      <c r="L24" s="74" t="s">
        <v>230</v>
      </c>
      <c r="M24" s="73" t="s">
        <v>231</v>
      </c>
      <c r="N24" s="75" t="s">
        <v>58</v>
      </c>
      <c r="O24" s="73" t="s">
        <v>232</v>
      </c>
      <c r="P24" s="82" t="s">
        <v>233</v>
      </c>
      <c r="Q24" s="73" t="s">
        <v>234</v>
      </c>
      <c r="R24" s="73" t="s">
        <v>235</v>
      </c>
      <c r="S24" s="73" t="s">
        <v>236</v>
      </c>
      <c r="T24" s="73" t="s">
        <v>237</v>
      </c>
      <c r="U24" s="73" t="s">
        <v>238</v>
      </c>
      <c r="V24" s="73" t="s">
        <v>239</v>
      </c>
    </row>
    <row r="25" spans="1:22" ht="113.25">
      <c r="A25" s="48" t="s">
        <v>188</v>
      </c>
      <c r="B25" s="70" t="s">
        <v>240</v>
      </c>
      <c r="C25" s="71"/>
      <c r="D25" s="71"/>
      <c r="E25" s="70"/>
      <c r="F25" s="71" t="s">
        <v>25</v>
      </c>
      <c r="G25" s="72" t="s">
        <v>0</v>
      </c>
      <c r="H25" s="73" t="s">
        <v>39</v>
      </c>
      <c r="I25" s="71"/>
      <c r="J25" s="73" t="s">
        <v>241</v>
      </c>
      <c r="K25" s="73" t="s">
        <v>242</v>
      </c>
      <c r="L25" s="74" t="s">
        <v>230</v>
      </c>
      <c r="M25" s="83">
        <v>80000</v>
      </c>
      <c r="N25" s="73" t="s">
        <v>243</v>
      </c>
      <c r="O25" s="73" t="s">
        <v>244</v>
      </c>
      <c r="P25" s="73" t="s">
        <v>245</v>
      </c>
      <c r="Q25" s="73" t="s">
        <v>246</v>
      </c>
      <c r="R25" s="81">
        <v>47026</v>
      </c>
      <c r="S25" s="73" t="s">
        <v>247</v>
      </c>
      <c r="T25" s="73" t="s">
        <v>248</v>
      </c>
      <c r="U25" s="73" t="s">
        <v>249</v>
      </c>
      <c r="V25" s="73" t="s">
        <v>250</v>
      </c>
    </row>
    <row r="26" spans="1:22" ht="90.75">
      <c r="A26" s="48" t="s">
        <v>188</v>
      </c>
      <c r="B26" s="70" t="s">
        <v>251</v>
      </c>
      <c r="C26" s="71"/>
      <c r="D26" s="71"/>
      <c r="E26" s="70"/>
      <c r="F26" s="71" t="s">
        <v>25</v>
      </c>
      <c r="G26" s="84" t="s">
        <v>0</v>
      </c>
      <c r="H26" s="75" t="s">
        <v>39</v>
      </c>
      <c r="I26" s="71"/>
      <c r="J26" s="73" t="s">
        <v>252</v>
      </c>
      <c r="K26" s="75" t="s">
        <v>253</v>
      </c>
      <c r="L26" s="75" t="s">
        <v>153</v>
      </c>
      <c r="M26" s="75" t="s">
        <v>153</v>
      </c>
      <c r="N26" s="75" t="s">
        <v>153</v>
      </c>
      <c r="O26" s="75" t="s">
        <v>153</v>
      </c>
      <c r="P26" s="73" t="s">
        <v>254</v>
      </c>
      <c r="Q26" s="77">
        <v>46174</v>
      </c>
      <c r="R26" s="73" t="s">
        <v>255</v>
      </c>
      <c r="S26" s="73" t="s">
        <v>256</v>
      </c>
      <c r="T26" s="73" t="s">
        <v>257</v>
      </c>
      <c r="U26" s="73" t="s">
        <v>258</v>
      </c>
      <c r="V26" s="73"/>
    </row>
    <row r="27" spans="1:22" ht="68.25">
      <c r="A27" s="48" t="s">
        <v>188</v>
      </c>
      <c r="B27" s="70" t="s">
        <v>259</v>
      </c>
      <c r="C27" s="71"/>
      <c r="D27" s="71"/>
      <c r="E27" s="70"/>
      <c r="F27" s="71" t="s">
        <v>25</v>
      </c>
      <c r="G27" s="84" t="s">
        <v>26</v>
      </c>
      <c r="H27" s="75" t="s">
        <v>39</v>
      </c>
      <c r="I27" s="71"/>
      <c r="J27" s="78" t="s">
        <v>260</v>
      </c>
      <c r="K27" s="73" t="s">
        <v>261</v>
      </c>
      <c r="L27" s="75" t="s">
        <v>153</v>
      </c>
      <c r="M27" s="75" t="s">
        <v>153</v>
      </c>
      <c r="N27" s="75" t="s">
        <v>153</v>
      </c>
      <c r="O27" s="75" t="s">
        <v>153</v>
      </c>
      <c r="P27" s="78" t="s">
        <v>153</v>
      </c>
      <c r="Q27" s="73" t="s">
        <v>255</v>
      </c>
      <c r="R27" s="73" t="s">
        <v>262</v>
      </c>
      <c r="S27" s="73" t="s">
        <v>263</v>
      </c>
      <c r="T27" s="73" t="s">
        <v>257</v>
      </c>
      <c r="U27" s="75" t="s">
        <v>153</v>
      </c>
      <c r="V27" s="75"/>
    </row>
    <row r="28" spans="1:22" ht="113.25">
      <c r="A28" s="48" t="s">
        <v>188</v>
      </c>
      <c r="B28" s="70" t="s">
        <v>264</v>
      </c>
      <c r="C28" s="71"/>
      <c r="D28" s="71"/>
      <c r="E28" s="70"/>
      <c r="F28" s="71" t="s">
        <v>25</v>
      </c>
      <c r="G28" s="84" t="s">
        <v>76</v>
      </c>
      <c r="H28" s="75" t="s">
        <v>20</v>
      </c>
      <c r="I28" s="71"/>
      <c r="J28" s="73" t="s">
        <v>265</v>
      </c>
      <c r="K28" s="73" t="s">
        <v>266</v>
      </c>
      <c r="L28" s="74" t="s">
        <v>267</v>
      </c>
      <c r="M28" s="73" t="s">
        <v>268</v>
      </c>
      <c r="N28" s="75" t="s">
        <v>154</v>
      </c>
      <c r="O28" s="73" t="s">
        <v>269</v>
      </c>
      <c r="P28" s="73" t="s">
        <v>270</v>
      </c>
      <c r="Q28" s="73" t="s">
        <v>153</v>
      </c>
      <c r="R28" s="73" t="s">
        <v>95</v>
      </c>
      <c r="S28" s="73" t="s">
        <v>271</v>
      </c>
      <c r="T28" s="73" t="s">
        <v>272</v>
      </c>
      <c r="U28" s="73" t="s">
        <v>273</v>
      </c>
      <c r="V28" s="73" t="s">
        <v>274</v>
      </c>
    </row>
    <row r="29" spans="1:22" ht="90.75">
      <c r="A29" s="48" t="s">
        <v>275</v>
      </c>
      <c r="B29" s="86" t="s">
        <v>276</v>
      </c>
      <c r="C29" s="33"/>
      <c r="D29" s="33"/>
      <c r="E29" s="32"/>
      <c r="F29" s="33" t="s">
        <v>277</v>
      </c>
      <c r="G29" s="36" t="s">
        <v>76</v>
      </c>
      <c r="H29" s="37" t="s">
        <v>27</v>
      </c>
      <c r="I29" s="33"/>
      <c r="J29" s="34" t="s">
        <v>278</v>
      </c>
      <c r="K29" s="33" t="s">
        <v>279</v>
      </c>
      <c r="L29" s="33" t="s">
        <v>280</v>
      </c>
      <c r="M29" s="45" t="s">
        <v>62</v>
      </c>
      <c r="N29" s="39" t="s">
        <v>27</v>
      </c>
      <c r="O29" s="40">
        <v>800000</v>
      </c>
      <c r="P29" s="33" t="s">
        <v>281</v>
      </c>
      <c r="Q29" s="87">
        <v>46023</v>
      </c>
      <c r="R29" s="87" t="s">
        <v>281</v>
      </c>
      <c r="S29" s="41" t="s">
        <v>282</v>
      </c>
      <c r="T29" s="88" t="s">
        <v>283</v>
      </c>
      <c r="U29" s="33" t="s">
        <v>281</v>
      </c>
      <c r="V29" s="41" t="s">
        <v>284</v>
      </c>
    </row>
    <row r="30" spans="1:22" ht="249">
      <c r="A30" s="48" t="s">
        <v>275</v>
      </c>
      <c r="B30" s="86" t="s">
        <v>285</v>
      </c>
      <c r="C30" s="33"/>
      <c r="D30" s="33"/>
      <c r="E30" s="32"/>
      <c r="F30" s="33" t="s">
        <v>277</v>
      </c>
      <c r="G30" s="36" t="s">
        <v>26</v>
      </c>
      <c r="H30" s="37" t="s">
        <v>27</v>
      </c>
      <c r="I30" s="33"/>
      <c r="J30" s="34" t="s">
        <v>286</v>
      </c>
      <c r="K30" s="33" t="s">
        <v>287</v>
      </c>
      <c r="L30" s="33" t="s">
        <v>288</v>
      </c>
      <c r="M30" s="45" t="s">
        <v>289</v>
      </c>
      <c r="N30" s="39" t="s">
        <v>154</v>
      </c>
      <c r="O30" s="40" t="s">
        <v>290</v>
      </c>
      <c r="P30" s="33" t="s">
        <v>291</v>
      </c>
      <c r="Q30" s="89" t="s">
        <v>292</v>
      </c>
      <c r="R30" s="87" t="s">
        <v>281</v>
      </c>
      <c r="S30" s="41" t="s">
        <v>282</v>
      </c>
      <c r="T30" s="88" t="s">
        <v>293</v>
      </c>
      <c r="U30" s="33" t="s">
        <v>294</v>
      </c>
      <c r="V30" s="41"/>
    </row>
    <row r="31" spans="1:22" ht="409.6">
      <c r="A31" s="48" t="s">
        <v>275</v>
      </c>
      <c r="B31" s="86" t="s">
        <v>295</v>
      </c>
      <c r="C31" s="33"/>
      <c r="D31" s="33"/>
      <c r="E31" s="32"/>
      <c r="F31" s="33" t="s">
        <v>277</v>
      </c>
      <c r="G31" s="36" t="s">
        <v>26</v>
      </c>
      <c r="H31" s="37" t="s">
        <v>39</v>
      </c>
      <c r="I31" s="33"/>
      <c r="J31" s="34" t="s">
        <v>296</v>
      </c>
      <c r="K31" s="33" t="s">
        <v>297</v>
      </c>
      <c r="L31" s="33" t="s">
        <v>298</v>
      </c>
      <c r="M31" s="90" t="s">
        <v>299</v>
      </c>
      <c r="N31" s="39" t="s">
        <v>154</v>
      </c>
      <c r="O31" s="40" t="s">
        <v>300</v>
      </c>
      <c r="P31" s="33" t="s">
        <v>301</v>
      </c>
      <c r="Q31" s="33" t="s">
        <v>302</v>
      </c>
      <c r="R31" s="33" t="s">
        <v>303</v>
      </c>
      <c r="S31" s="41" t="s">
        <v>304</v>
      </c>
      <c r="T31" s="88" t="s">
        <v>305</v>
      </c>
      <c r="U31" s="33" t="s">
        <v>306</v>
      </c>
      <c r="V31" s="41"/>
    </row>
    <row r="32" spans="1:22" ht="249">
      <c r="A32" s="48" t="s">
        <v>275</v>
      </c>
      <c r="B32" s="86" t="s">
        <v>307</v>
      </c>
      <c r="C32" s="33"/>
      <c r="D32" s="33"/>
      <c r="E32" s="32"/>
      <c r="F32" s="33"/>
      <c r="G32" s="36" t="s">
        <v>26</v>
      </c>
      <c r="H32" s="37" t="s">
        <v>39</v>
      </c>
      <c r="I32" s="33"/>
      <c r="J32" s="34" t="s">
        <v>308</v>
      </c>
      <c r="K32" s="33" t="s">
        <v>309</v>
      </c>
      <c r="L32" s="33" t="s">
        <v>310</v>
      </c>
      <c r="M32" s="45" t="s">
        <v>311</v>
      </c>
      <c r="N32" s="39" t="s">
        <v>154</v>
      </c>
      <c r="O32" s="40" t="s">
        <v>312</v>
      </c>
      <c r="P32" s="33" t="s">
        <v>313</v>
      </c>
      <c r="Q32" s="24">
        <v>45931</v>
      </c>
      <c r="R32" s="24">
        <v>46661</v>
      </c>
      <c r="S32" s="41" t="s">
        <v>304</v>
      </c>
      <c r="T32" s="88" t="s">
        <v>314</v>
      </c>
      <c r="U32" s="33" t="s">
        <v>315</v>
      </c>
      <c r="V32" s="41"/>
    </row>
    <row r="33" spans="1:22" ht="409.6">
      <c r="A33" s="48" t="s">
        <v>275</v>
      </c>
      <c r="B33" s="91" t="s">
        <v>316</v>
      </c>
      <c r="C33" s="92"/>
      <c r="D33" s="92"/>
      <c r="E33" s="106"/>
      <c r="F33" s="92"/>
      <c r="G33" s="93" t="s">
        <v>76</v>
      </c>
      <c r="H33" s="94" t="s">
        <v>64</v>
      </c>
      <c r="I33" s="92"/>
      <c r="J33" s="95" t="s">
        <v>317</v>
      </c>
      <c r="K33" s="92" t="s">
        <v>318</v>
      </c>
      <c r="L33" s="92" t="s">
        <v>319</v>
      </c>
      <c r="M33" s="96" t="s">
        <v>153</v>
      </c>
      <c r="N33" s="97" t="s">
        <v>27</v>
      </c>
      <c r="O33" s="98" t="s">
        <v>320</v>
      </c>
      <c r="P33" s="92" t="s">
        <v>321</v>
      </c>
      <c r="Q33" s="99">
        <v>46054</v>
      </c>
      <c r="R33" s="99">
        <v>47543</v>
      </c>
      <c r="S33" s="100" t="s">
        <v>322</v>
      </c>
      <c r="T33" s="101" t="s">
        <v>323</v>
      </c>
      <c r="U33" s="92" t="s">
        <v>324</v>
      </c>
      <c r="V33" s="92" t="s">
        <v>325</v>
      </c>
    </row>
    <row r="34" spans="1:22" ht="339.75">
      <c r="A34" s="48" t="s">
        <v>275</v>
      </c>
      <c r="B34" s="86" t="s">
        <v>326</v>
      </c>
      <c r="C34" s="33"/>
      <c r="D34" s="33"/>
      <c r="E34" s="32"/>
      <c r="F34" s="33"/>
      <c r="G34" s="36" t="s">
        <v>76</v>
      </c>
      <c r="H34" s="37" t="s">
        <v>190</v>
      </c>
      <c r="I34" s="33"/>
      <c r="J34" s="34" t="s">
        <v>327</v>
      </c>
      <c r="K34" s="33" t="s">
        <v>328</v>
      </c>
      <c r="L34" s="33" t="s">
        <v>329</v>
      </c>
      <c r="M34" s="33" t="s">
        <v>330</v>
      </c>
      <c r="N34" s="39" t="s">
        <v>154</v>
      </c>
      <c r="O34" s="40" t="s">
        <v>290</v>
      </c>
      <c r="P34" s="33" t="s">
        <v>331</v>
      </c>
      <c r="Q34" s="102" t="s">
        <v>332</v>
      </c>
      <c r="R34" s="33" t="s">
        <v>281</v>
      </c>
      <c r="S34" s="41" t="s">
        <v>282</v>
      </c>
      <c r="T34" s="33" t="s">
        <v>333</v>
      </c>
      <c r="U34" s="33" t="s">
        <v>334</v>
      </c>
      <c r="V34" s="41"/>
    </row>
    <row r="35" spans="1:22" ht="204.75">
      <c r="A35" s="48" t="s">
        <v>275</v>
      </c>
      <c r="B35" s="86" t="s">
        <v>335</v>
      </c>
      <c r="C35" s="33"/>
      <c r="D35" s="33"/>
      <c r="E35" s="32"/>
      <c r="F35" s="33"/>
      <c r="G35" s="36" t="s">
        <v>76</v>
      </c>
      <c r="H35" s="37" t="s">
        <v>117</v>
      </c>
      <c r="I35" s="33"/>
      <c r="J35" s="34" t="s">
        <v>336</v>
      </c>
      <c r="K35" s="33" t="s">
        <v>337</v>
      </c>
      <c r="L35" s="41" t="s">
        <v>338</v>
      </c>
      <c r="M35" s="45" t="s">
        <v>153</v>
      </c>
      <c r="N35" s="39" t="s">
        <v>27</v>
      </c>
      <c r="O35" s="40" t="s">
        <v>339</v>
      </c>
      <c r="P35" s="41"/>
      <c r="Q35" s="24" t="s">
        <v>153</v>
      </c>
      <c r="R35" s="24" t="s">
        <v>153</v>
      </c>
      <c r="S35" s="41" t="s">
        <v>340</v>
      </c>
      <c r="T35" s="47"/>
      <c r="U35" s="33" t="s">
        <v>341</v>
      </c>
      <c r="V35" s="41"/>
    </row>
    <row r="36" spans="1:22" ht="317.25">
      <c r="A36" s="48" t="s">
        <v>342</v>
      </c>
      <c r="B36" s="86" t="s">
        <v>343</v>
      </c>
      <c r="C36" s="33"/>
      <c r="D36" s="33"/>
      <c r="E36" s="32"/>
      <c r="F36" s="33"/>
      <c r="G36" s="36" t="s">
        <v>26</v>
      </c>
      <c r="H36" s="37" t="s">
        <v>39</v>
      </c>
      <c r="I36" s="33"/>
      <c r="J36" s="34" t="s">
        <v>344</v>
      </c>
      <c r="K36" s="34" t="s">
        <v>345</v>
      </c>
      <c r="L36" s="34" t="s">
        <v>346</v>
      </c>
      <c r="M36" s="45">
        <f>88550+194828+151800</f>
        <v>435178</v>
      </c>
      <c r="N36" s="39" t="s">
        <v>154</v>
      </c>
      <c r="O36" s="103" t="s">
        <v>347</v>
      </c>
      <c r="P36" s="34" t="s">
        <v>348</v>
      </c>
      <c r="Q36" s="24" t="s">
        <v>349</v>
      </c>
      <c r="R36" s="102" t="s">
        <v>350</v>
      </c>
      <c r="S36" s="41" t="s">
        <v>351</v>
      </c>
      <c r="T36" s="34" t="s">
        <v>352</v>
      </c>
      <c r="U36" s="34" t="s">
        <v>353</v>
      </c>
      <c r="V36" s="41" t="s">
        <v>354</v>
      </c>
    </row>
    <row r="37" spans="1:22" ht="90.75">
      <c r="A37" s="48" t="s">
        <v>342</v>
      </c>
      <c r="B37" s="86" t="s">
        <v>355</v>
      </c>
      <c r="C37" s="33"/>
      <c r="D37" s="33"/>
      <c r="E37" s="32"/>
      <c r="F37" s="33"/>
      <c r="G37" s="36" t="s">
        <v>26</v>
      </c>
      <c r="H37" s="37" t="s">
        <v>39</v>
      </c>
      <c r="I37" s="33"/>
      <c r="J37" s="34" t="s">
        <v>356</v>
      </c>
      <c r="K37" s="34" t="s">
        <v>357</v>
      </c>
      <c r="L37" s="34" t="s">
        <v>358</v>
      </c>
      <c r="M37" s="104">
        <v>0</v>
      </c>
      <c r="N37" s="39" t="s">
        <v>58</v>
      </c>
      <c r="O37" s="34" t="s">
        <v>359</v>
      </c>
      <c r="P37" s="41" t="s">
        <v>360</v>
      </c>
      <c r="Q37" s="102" t="s">
        <v>361</v>
      </c>
      <c r="R37" s="102" t="s">
        <v>362</v>
      </c>
      <c r="S37" s="41" t="s">
        <v>363</v>
      </c>
      <c r="T37" s="47"/>
      <c r="U37" s="41" t="s">
        <v>364</v>
      </c>
      <c r="V37" s="41"/>
    </row>
    <row r="38" spans="1:22" ht="317.25">
      <c r="A38" s="48" t="s">
        <v>342</v>
      </c>
      <c r="B38" s="86" t="s">
        <v>365</v>
      </c>
      <c r="C38" s="33"/>
      <c r="D38" s="33"/>
      <c r="E38" s="32"/>
      <c r="F38" s="33"/>
      <c r="G38" s="36" t="s">
        <v>26</v>
      </c>
      <c r="H38" s="37" t="s">
        <v>20</v>
      </c>
      <c r="I38" s="33"/>
      <c r="J38" s="34" t="s">
        <v>366</v>
      </c>
      <c r="K38" s="34" t="s">
        <v>367</v>
      </c>
      <c r="L38" s="34" t="s">
        <v>368</v>
      </c>
      <c r="M38" s="45"/>
      <c r="N38" s="39"/>
      <c r="O38" s="105"/>
      <c r="P38" s="34" t="s">
        <v>369</v>
      </c>
      <c r="Q38" s="24" t="s">
        <v>349</v>
      </c>
      <c r="R38" s="24" t="s">
        <v>362</v>
      </c>
      <c r="S38" s="41" t="s">
        <v>370</v>
      </c>
      <c r="T38" s="34" t="s">
        <v>371</v>
      </c>
      <c r="U38" s="34" t="s">
        <v>372</v>
      </c>
      <c r="V38" s="41" t="s">
        <v>373</v>
      </c>
    </row>
    <row r="39" spans="1:22" ht="409.6">
      <c r="A39" s="48" t="s">
        <v>374</v>
      </c>
      <c r="B39" s="32" t="s">
        <v>375</v>
      </c>
      <c r="C39" s="33"/>
      <c r="D39" s="33"/>
      <c r="E39" s="32"/>
      <c r="F39" s="33"/>
      <c r="G39" s="107" t="s">
        <v>26</v>
      </c>
      <c r="H39" s="108" t="s">
        <v>39</v>
      </c>
      <c r="I39" s="33"/>
      <c r="J39" s="108" t="s">
        <v>376</v>
      </c>
      <c r="K39" s="107" t="s">
        <v>377</v>
      </c>
      <c r="L39" s="33"/>
      <c r="M39" s="38"/>
      <c r="N39" s="54"/>
      <c r="O39" s="40"/>
      <c r="P39" s="33" t="s">
        <v>378</v>
      </c>
      <c r="Q39" s="87"/>
      <c r="R39" s="87"/>
      <c r="S39" s="33"/>
      <c r="T39" s="42"/>
      <c r="U39" s="35"/>
      <c r="V39" s="33"/>
    </row>
    <row r="40" spans="1:22" ht="363">
      <c r="A40" s="48" t="s">
        <v>374</v>
      </c>
      <c r="B40" s="109" t="s">
        <v>379</v>
      </c>
      <c r="C40" s="110"/>
      <c r="D40" s="110"/>
      <c r="E40" s="109"/>
      <c r="F40" s="110"/>
      <c r="G40" s="111" t="s">
        <v>26</v>
      </c>
      <c r="H40" s="110" t="s">
        <v>39</v>
      </c>
      <c r="I40" s="110"/>
      <c r="J40" s="110" t="s">
        <v>380</v>
      </c>
      <c r="K40" s="112" t="s">
        <v>377</v>
      </c>
      <c r="L40" s="69"/>
      <c r="M40" s="69"/>
      <c r="N40" s="69"/>
      <c r="O40" s="69"/>
      <c r="P40" s="69" t="s">
        <v>381</v>
      </c>
      <c r="Q40" s="69"/>
      <c r="R40" s="69"/>
      <c r="S40" s="69"/>
      <c r="T40" s="69"/>
      <c r="U40" s="69"/>
      <c r="V40" s="69"/>
    </row>
    <row r="41" spans="1:22" ht="363">
      <c r="A41" s="48" t="s">
        <v>374</v>
      </c>
      <c r="B41" s="109" t="s">
        <v>382</v>
      </c>
      <c r="C41" s="110"/>
      <c r="D41" s="110"/>
      <c r="E41" s="109"/>
      <c r="F41" s="110"/>
      <c r="G41" s="111" t="s">
        <v>76</v>
      </c>
      <c r="H41" s="110" t="s">
        <v>117</v>
      </c>
      <c r="I41" s="110"/>
      <c r="J41" s="110" t="s">
        <v>383</v>
      </c>
      <c r="K41" s="112" t="s">
        <v>377</v>
      </c>
      <c r="L41" s="69"/>
      <c r="M41" s="69"/>
      <c r="N41" s="69"/>
      <c r="O41" s="69"/>
      <c r="P41" s="69" t="s">
        <v>384</v>
      </c>
      <c r="Q41" s="69"/>
      <c r="R41" s="69"/>
      <c r="S41" s="69"/>
      <c r="T41" s="69"/>
      <c r="U41" s="69"/>
      <c r="V41" s="69"/>
    </row>
    <row r="42" spans="1:22" ht="294.75">
      <c r="A42" s="48" t="s">
        <v>374</v>
      </c>
      <c r="B42" s="109" t="s">
        <v>385</v>
      </c>
      <c r="C42" s="110"/>
      <c r="D42" s="110"/>
      <c r="E42" s="109"/>
      <c r="F42" s="110"/>
      <c r="G42" s="111" t="s">
        <v>26</v>
      </c>
      <c r="H42" s="110" t="s">
        <v>20</v>
      </c>
      <c r="I42" s="110"/>
      <c r="J42" s="110" t="s">
        <v>386</v>
      </c>
      <c r="K42" s="112" t="s">
        <v>377</v>
      </c>
      <c r="L42" s="69"/>
      <c r="M42" s="69"/>
      <c r="N42" s="69"/>
      <c r="O42" s="69"/>
      <c r="P42" s="69" t="s">
        <v>387</v>
      </c>
      <c r="Q42" s="69"/>
      <c r="R42" s="69"/>
      <c r="S42" s="69"/>
      <c r="T42" s="69"/>
      <c r="U42" s="69"/>
      <c r="V42" s="69"/>
    </row>
    <row r="43" spans="1:22" ht="409.6">
      <c r="A43" s="85" t="s">
        <v>374</v>
      </c>
      <c r="B43" s="113" t="s">
        <v>388</v>
      </c>
      <c r="C43" s="114"/>
      <c r="D43" s="114"/>
      <c r="E43" s="113"/>
      <c r="F43" s="114"/>
      <c r="G43" s="107" t="s">
        <v>26</v>
      </c>
      <c r="H43" s="108" t="s">
        <v>39</v>
      </c>
      <c r="I43" s="114"/>
      <c r="J43" s="115" t="s">
        <v>389</v>
      </c>
      <c r="K43" s="116" t="s">
        <v>377</v>
      </c>
      <c r="L43" s="117" t="s">
        <v>390</v>
      </c>
      <c r="M43" s="118" t="s">
        <v>153</v>
      </c>
      <c r="N43" s="119"/>
      <c r="O43" s="120" t="s">
        <v>153</v>
      </c>
      <c r="P43" s="121" t="s">
        <v>391</v>
      </c>
      <c r="Q43" s="122">
        <v>45996</v>
      </c>
      <c r="R43" s="123"/>
      <c r="S43" s="123"/>
      <c r="T43" s="123"/>
      <c r="U43" s="123"/>
      <c r="V43" s="123"/>
    </row>
    <row r="44" spans="1:22" ht="409.6">
      <c r="A44" s="48" t="s">
        <v>392</v>
      </c>
      <c r="B44" s="124" t="s">
        <v>393</v>
      </c>
      <c r="C44" s="43"/>
      <c r="D44" s="43"/>
      <c r="E44" s="220"/>
      <c r="F44" s="43"/>
      <c r="G44" s="17" t="s">
        <v>26</v>
      </c>
      <c r="H44" s="18" t="s">
        <v>39</v>
      </c>
      <c r="I44" s="43"/>
      <c r="J44" s="37" t="s">
        <v>394</v>
      </c>
      <c r="K44" s="125" t="s">
        <v>395</v>
      </c>
      <c r="L44" s="52" t="s">
        <v>396</v>
      </c>
      <c r="M44" s="126">
        <v>400000</v>
      </c>
      <c r="N44" s="21" t="s">
        <v>27</v>
      </c>
      <c r="O44" s="53" t="s">
        <v>397</v>
      </c>
      <c r="P44" s="52" t="s">
        <v>398</v>
      </c>
      <c r="Q44" s="127">
        <v>46082</v>
      </c>
      <c r="R44" s="127" t="s">
        <v>153</v>
      </c>
      <c r="S44" s="128" t="s">
        <v>399</v>
      </c>
      <c r="T44" s="63" t="s">
        <v>400</v>
      </c>
      <c r="U44" s="56" t="s">
        <v>401</v>
      </c>
      <c r="V44" s="129"/>
    </row>
    <row r="45" spans="1:22" ht="363">
      <c r="A45" s="48" t="s">
        <v>392</v>
      </c>
      <c r="B45" s="130" t="s">
        <v>402</v>
      </c>
      <c r="C45" s="33"/>
      <c r="D45" s="33"/>
      <c r="E45" s="32"/>
      <c r="F45" s="33"/>
      <c r="G45" s="17" t="s">
        <v>26</v>
      </c>
      <c r="H45" s="18" t="s">
        <v>39</v>
      </c>
      <c r="I45" s="33"/>
      <c r="J45" s="59" t="s">
        <v>403</v>
      </c>
      <c r="K45" s="125" t="s">
        <v>404</v>
      </c>
      <c r="L45" s="125" t="s">
        <v>405</v>
      </c>
      <c r="M45" s="131" t="s">
        <v>406</v>
      </c>
      <c r="N45" s="21" t="s">
        <v>44</v>
      </c>
      <c r="O45" s="53" t="s">
        <v>407</v>
      </c>
      <c r="P45" s="125" t="s">
        <v>408</v>
      </c>
      <c r="Q45" s="132" t="s">
        <v>409</v>
      </c>
      <c r="R45" s="132" t="s">
        <v>410</v>
      </c>
      <c r="S45" s="125" t="s">
        <v>411</v>
      </c>
      <c r="T45" s="133" t="s">
        <v>412</v>
      </c>
      <c r="U45" s="134" t="s">
        <v>413</v>
      </c>
      <c r="V45" s="125" t="s">
        <v>414</v>
      </c>
    </row>
    <row r="46" spans="1:22" ht="204.75">
      <c r="A46" s="48" t="s">
        <v>392</v>
      </c>
      <c r="B46" s="130" t="s">
        <v>415</v>
      </c>
      <c r="C46" s="33"/>
      <c r="D46" s="33"/>
      <c r="E46" s="32"/>
      <c r="F46" s="33"/>
      <c r="G46" s="17" t="s">
        <v>26</v>
      </c>
      <c r="H46" s="18" t="s">
        <v>39</v>
      </c>
      <c r="I46" s="33"/>
      <c r="J46" s="59" t="s">
        <v>416</v>
      </c>
      <c r="K46" s="125" t="s">
        <v>229</v>
      </c>
      <c r="L46" s="125" t="s">
        <v>417</v>
      </c>
      <c r="M46" s="135" t="s">
        <v>418</v>
      </c>
      <c r="N46" s="21" t="s">
        <v>58</v>
      </c>
      <c r="O46" s="135" t="s">
        <v>419</v>
      </c>
      <c r="P46" s="129" t="s">
        <v>420</v>
      </c>
      <c r="Q46" s="132" t="s">
        <v>234</v>
      </c>
      <c r="R46" s="132" t="s">
        <v>235</v>
      </c>
      <c r="S46" s="125" t="s">
        <v>411</v>
      </c>
      <c r="T46" s="133" t="s">
        <v>421</v>
      </c>
      <c r="U46" s="134" t="s">
        <v>238</v>
      </c>
      <c r="V46" s="125"/>
    </row>
    <row r="47" spans="1:22" ht="409.6">
      <c r="A47" s="48" t="s">
        <v>392</v>
      </c>
      <c r="B47" s="130" t="s">
        <v>422</v>
      </c>
      <c r="C47" s="33"/>
      <c r="D47" s="33"/>
      <c r="E47" s="32"/>
      <c r="F47" s="33"/>
      <c r="G47" s="17" t="s">
        <v>76</v>
      </c>
      <c r="H47" s="18" t="s">
        <v>39</v>
      </c>
      <c r="I47" s="33"/>
      <c r="J47" s="37" t="s">
        <v>423</v>
      </c>
      <c r="K47" s="52" t="s">
        <v>424</v>
      </c>
      <c r="L47" s="52" t="s">
        <v>425</v>
      </c>
      <c r="M47" s="135" t="s">
        <v>426</v>
      </c>
      <c r="N47" s="21" t="s">
        <v>27</v>
      </c>
      <c r="O47" s="53" t="s">
        <v>427</v>
      </c>
      <c r="P47" s="136" t="s">
        <v>428</v>
      </c>
      <c r="Q47" s="137">
        <v>46174</v>
      </c>
      <c r="R47" s="132">
        <v>46295</v>
      </c>
      <c r="S47" s="52" t="s">
        <v>429</v>
      </c>
      <c r="T47" s="63" t="s">
        <v>430</v>
      </c>
      <c r="U47" s="56" t="s">
        <v>431</v>
      </c>
      <c r="V47" s="125"/>
    </row>
    <row r="48" spans="1:22" ht="409.6">
      <c r="A48" s="48" t="s">
        <v>392</v>
      </c>
      <c r="B48" s="130" t="s">
        <v>432</v>
      </c>
      <c r="C48" s="33"/>
      <c r="D48" s="33"/>
      <c r="E48" s="32"/>
      <c r="F48" s="33"/>
      <c r="G48" s="36" t="s">
        <v>433</v>
      </c>
      <c r="H48" s="37" t="s">
        <v>39</v>
      </c>
      <c r="I48" s="33"/>
      <c r="J48" s="59" t="s">
        <v>434</v>
      </c>
      <c r="K48" s="59" t="s">
        <v>435</v>
      </c>
      <c r="L48" s="59" t="s">
        <v>436</v>
      </c>
      <c r="M48" s="138">
        <v>450000</v>
      </c>
      <c r="N48" s="39" t="s">
        <v>44</v>
      </c>
      <c r="O48" s="59" t="s">
        <v>437</v>
      </c>
      <c r="P48" s="59" t="s">
        <v>438</v>
      </c>
      <c r="Q48" s="139">
        <v>46296</v>
      </c>
      <c r="R48" s="139">
        <v>46447</v>
      </c>
      <c r="S48" s="59" t="s">
        <v>439</v>
      </c>
      <c r="T48" s="140" t="s">
        <v>440</v>
      </c>
      <c r="U48" s="141" t="s">
        <v>441</v>
      </c>
      <c r="V48" s="142"/>
    </row>
    <row r="49" spans="1:22" ht="24">
      <c r="A49" s="48" t="s">
        <v>392</v>
      </c>
      <c r="B49" s="124" t="s">
        <v>442</v>
      </c>
      <c r="C49" s="43"/>
      <c r="D49" s="43"/>
      <c r="E49" s="220"/>
      <c r="F49" s="43"/>
      <c r="G49" s="17" t="s">
        <v>26</v>
      </c>
      <c r="H49" s="18"/>
      <c r="I49" s="43"/>
      <c r="J49" s="18"/>
      <c r="K49" s="129"/>
      <c r="L49" s="129"/>
      <c r="M49" s="131"/>
      <c r="N49" s="21"/>
      <c r="O49" s="131"/>
      <c r="P49" s="129"/>
      <c r="Q49" s="137"/>
      <c r="R49" s="137"/>
      <c r="S49" s="129"/>
      <c r="T49" s="143"/>
      <c r="U49" s="31"/>
      <c r="V49" s="129"/>
    </row>
    <row r="50" spans="1:22" ht="409.6">
      <c r="A50" s="85" t="s">
        <v>392</v>
      </c>
      <c r="B50" s="130" t="s">
        <v>443</v>
      </c>
      <c r="C50" s="33"/>
      <c r="D50" s="33"/>
      <c r="E50" s="32"/>
      <c r="F50" s="33"/>
      <c r="G50" s="36" t="s">
        <v>26</v>
      </c>
      <c r="H50" s="37" t="s">
        <v>39</v>
      </c>
      <c r="I50" s="33"/>
      <c r="J50" s="59" t="s">
        <v>444</v>
      </c>
      <c r="K50" s="59" t="s">
        <v>445</v>
      </c>
      <c r="L50" s="59" t="s">
        <v>446</v>
      </c>
      <c r="M50" s="144">
        <v>7500000</v>
      </c>
      <c r="N50" s="39" t="s">
        <v>27</v>
      </c>
      <c r="O50" s="142" t="s">
        <v>281</v>
      </c>
      <c r="P50" s="59" t="s">
        <v>447</v>
      </c>
      <c r="Q50" s="59" t="s">
        <v>448</v>
      </c>
      <c r="R50" s="59" t="s">
        <v>153</v>
      </c>
      <c r="S50" s="59" t="s">
        <v>449</v>
      </c>
      <c r="T50" s="140" t="s">
        <v>450</v>
      </c>
      <c r="U50" s="140" t="s">
        <v>451</v>
      </c>
      <c r="V50" s="142"/>
    </row>
    <row r="51" spans="1:22" ht="409.6">
      <c r="A51" s="48" t="s">
        <v>452</v>
      </c>
      <c r="B51" s="145" t="s">
        <v>453</v>
      </c>
      <c r="C51" s="146"/>
      <c r="D51" s="146"/>
      <c r="E51" s="221"/>
      <c r="F51" s="146"/>
      <c r="G51" s="147" t="s">
        <v>26</v>
      </c>
      <c r="H51" s="148" t="s">
        <v>39</v>
      </c>
      <c r="I51" s="146"/>
      <c r="J51" s="149" t="s">
        <v>454</v>
      </c>
      <c r="K51" s="149" t="s">
        <v>455</v>
      </c>
      <c r="L51" s="149" t="s">
        <v>456</v>
      </c>
      <c r="M51" s="126"/>
      <c r="N51" s="97" t="s">
        <v>154</v>
      </c>
      <c r="O51" s="150" t="s">
        <v>457</v>
      </c>
      <c r="P51" s="151" t="s">
        <v>458</v>
      </c>
      <c r="Q51" s="152">
        <v>46023</v>
      </c>
      <c r="R51" s="151" t="s">
        <v>459</v>
      </c>
      <c r="S51" s="149" t="s">
        <v>460</v>
      </c>
      <c r="T51" s="149" t="s">
        <v>461</v>
      </c>
      <c r="U51" s="153" t="s">
        <v>137</v>
      </c>
      <c r="V51" s="154"/>
    </row>
    <row r="52" spans="1:22" ht="409.6">
      <c r="A52" s="48" t="s">
        <v>452</v>
      </c>
      <c r="B52" s="155" t="s">
        <v>462</v>
      </c>
      <c r="C52" s="156"/>
      <c r="D52" s="156"/>
      <c r="E52" s="222"/>
      <c r="F52" s="156"/>
      <c r="G52" s="147" t="s">
        <v>26</v>
      </c>
      <c r="H52" s="148" t="s">
        <v>39</v>
      </c>
      <c r="I52" s="156"/>
      <c r="J52" s="157" t="s">
        <v>463</v>
      </c>
      <c r="K52" s="149" t="s">
        <v>464</v>
      </c>
      <c r="L52" s="154" t="s">
        <v>465</v>
      </c>
      <c r="M52" s="158" t="s">
        <v>466</v>
      </c>
      <c r="N52" s="97" t="s">
        <v>467</v>
      </c>
      <c r="O52" s="149" t="s">
        <v>468</v>
      </c>
      <c r="P52" s="151" t="s">
        <v>458</v>
      </c>
      <c r="Q52" s="159">
        <v>46023</v>
      </c>
      <c r="R52" s="151" t="s">
        <v>459</v>
      </c>
      <c r="S52" s="154" t="s">
        <v>460</v>
      </c>
      <c r="T52" s="149" t="s">
        <v>461</v>
      </c>
      <c r="U52" s="153" t="s">
        <v>137</v>
      </c>
      <c r="V52" s="154"/>
    </row>
    <row r="53" spans="1:22" ht="409.6">
      <c r="A53" s="48" t="s">
        <v>452</v>
      </c>
      <c r="B53" s="145" t="s">
        <v>469</v>
      </c>
      <c r="C53" s="146"/>
      <c r="D53" s="146"/>
      <c r="E53" s="221"/>
      <c r="F53" s="146"/>
      <c r="G53" s="160" t="s">
        <v>76</v>
      </c>
      <c r="H53" s="148" t="s">
        <v>39</v>
      </c>
      <c r="I53" s="146"/>
      <c r="J53" s="149" t="s">
        <v>470</v>
      </c>
      <c r="K53" s="149" t="s">
        <v>471</v>
      </c>
      <c r="L53" s="149" t="s">
        <v>472</v>
      </c>
      <c r="M53" s="158" t="s">
        <v>466</v>
      </c>
      <c r="N53" s="97" t="s">
        <v>467</v>
      </c>
      <c r="O53" s="149" t="s">
        <v>473</v>
      </c>
      <c r="P53" s="150" t="s">
        <v>474</v>
      </c>
      <c r="Q53" s="152">
        <v>46023</v>
      </c>
      <c r="R53" s="151" t="s">
        <v>459</v>
      </c>
      <c r="S53" s="149" t="s">
        <v>475</v>
      </c>
      <c r="T53" s="149" t="s">
        <v>461</v>
      </c>
      <c r="U53" s="149" t="s">
        <v>137</v>
      </c>
      <c r="V53" s="149"/>
    </row>
    <row r="54" spans="1:22" ht="351.75">
      <c r="A54" s="48" t="s">
        <v>452</v>
      </c>
      <c r="B54" s="145" t="s">
        <v>476</v>
      </c>
      <c r="C54" s="146"/>
      <c r="D54" s="146"/>
      <c r="E54" s="221"/>
      <c r="F54" s="146"/>
      <c r="G54" s="160" t="s">
        <v>26</v>
      </c>
      <c r="H54" s="148" t="s">
        <v>39</v>
      </c>
      <c r="I54" s="146"/>
      <c r="J54" s="149" t="s">
        <v>477</v>
      </c>
      <c r="K54" s="149" t="s">
        <v>478</v>
      </c>
      <c r="L54" s="149" t="s">
        <v>479</v>
      </c>
      <c r="M54" s="158" t="s">
        <v>466</v>
      </c>
      <c r="N54" s="97" t="s">
        <v>154</v>
      </c>
      <c r="O54" s="149" t="s">
        <v>480</v>
      </c>
      <c r="P54" s="150" t="s">
        <v>481</v>
      </c>
      <c r="Q54" s="152">
        <v>46204</v>
      </c>
      <c r="R54" s="152">
        <v>46568</v>
      </c>
      <c r="S54" s="149" t="s">
        <v>482</v>
      </c>
      <c r="T54" s="149" t="s">
        <v>461</v>
      </c>
      <c r="U54" s="149" t="s">
        <v>137</v>
      </c>
      <c r="V54" s="149"/>
    </row>
    <row r="55" spans="1:22" ht="409.6">
      <c r="A55" s="48" t="s">
        <v>452</v>
      </c>
      <c r="B55" s="145" t="s">
        <v>483</v>
      </c>
      <c r="C55" s="146"/>
      <c r="D55" s="146"/>
      <c r="E55" s="221"/>
      <c r="F55" s="146"/>
      <c r="G55" s="160" t="s">
        <v>26</v>
      </c>
      <c r="H55" s="148" t="s">
        <v>64</v>
      </c>
      <c r="I55" s="146"/>
      <c r="J55" s="149" t="s">
        <v>484</v>
      </c>
      <c r="K55" s="149" t="s">
        <v>485</v>
      </c>
      <c r="L55" s="154" t="s">
        <v>486</v>
      </c>
      <c r="M55" s="158" t="s">
        <v>466</v>
      </c>
      <c r="N55" s="97" t="s">
        <v>467</v>
      </c>
      <c r="O55" s="161" t="s">
        <v>466</v>
      </c>
      <c r="P55" s="149" t="s">
        <v>487</v>
      </c>
      <c r="Q55" s="151" t="s">
        <v>96</v>
      </c>
      <c r="R55" s="151" t="s">
        <v>96</v>
      </c>
      <c r="S55" s="149" t="s">
        <v>488</v>
      </c>
      <c r="T55" s="149" t="s">
        <v>461</v>
      </c>
      <c r="U55" s="149" t="s">
        <v>137</v>
      </c>
      <c r="V55" s="149"/>
    </row>
    <row r="56" spans="1:22" ht="409.6">
      <c r="A56" s="48" t="s">
        <v>452</v>
      </c>
      <c r="B56" s="162" t="s">
        <v>489</v>
      </c>
      <c r="C56" s="163"/>
      <c r="D56" s="163"/>
      <c r="E56" s="223"/>
      <c r="F56" s="163"/>
      <c r="G56" s="160" t="s">
        <v>76</v>
      </c>
      <c r="H56" s="149" t="s">
        <v>117</v>
      </c>
      <c r="I56" s="163"/>
      <c r="J56" s="149" t="s">
        <v>490</v>
      </c>
      <c r="K56" s="149" t="s">
        <v>491</v>
      </c>
      <c r="L56" s="149" t="s">
        <v>492</v>
      </c>
      <c r="M56" s="158" t="s">
        <v>466</v>
      </c>
      <c r="N56" s="97" t="s">
        <v>154</v>
      </c>
      <c r="O56" s="149" t="s">
        <v>493</v>
      </c>
      <c r="P56" s="149" t="s">
        <v>494</v>
      </c>
      <c r="Q56" s="164">
        <v>46204</v>
      </c>
      <c r="R56" s="154" t="s">
        <v>96</v>
      </c>
      <c r="S56" s="149" t="s">
        <v>495</v>
      </c>
      <c r="T56" s="149" t="s">
        <v>461</v>
      </c>
      <c r="U56" s="149" t="s">
        <v>137</v>
      </c>
      <c r="V56" s="149"/>
    </row>
    <row r="57" spans="1:22" ht="234.75">
      <c r="A57" s="48" t="s">
        <v>452</v>
      </c>
      <c r="B57" s="165" t="s">
        <v>496</v>
      </c>
      <c r="C57" s="166"/>
      <c r="D57" s="166"/>
      <c r="E57" s="224"/>
      <c r="F57" s="166"/>
      <c r="G57" s="167" t="s">
        <v>26</v>
      </c>
      <c r="H57" s="168" t="s">
        <v>39</v>
      </c>
      <c r="I57" s="166"/>
      <c r="J57" s="168" t="s">
        <v>497</v>
      </c>
      <c r="K57" s="169" t="s">
        <v>498</v>
      </c>
      <c r="L57" s="169" t="s">
        <v>499</v>
      </c>
      <c r="M57" s="170" t="s">
        <v>500</v>
      </c>
      <c r="N57" s="97" t="s">
        <v>154</v>
      </c>
      <c r="O57" s="171" t="s">
        <v>466</v>
      </c>
      <c r="P57" s="154" t="s">
        <v>501</v>
      </c>
      <c r="Q57" s="172">
        <v>46082</v>
      </c>
      <c r="R57" s="164">
        <v>46387</v>
      </c>
      <c r="S57" s="173" t="s">
        <v>502</v>
      </c>
      <c r="T57" s="149" t="s">
        <v>461</v>
      </c>
      <c r="U57" s="149" t="s">
        <v>137</v>
      </c>
      <c r="V57" s="174"/>
    </row>
    <row r="58" spans="1:22" ht="282">
      <c r="A58" s="48" t="s">
        <v>452</v>
      </c>
      <c r="B58" s="165" t="s">
        <v>503</v>
      </c>
      <c r="C58" s="166"/>
      <c r="D58" s="166"/>
      <c r="E58" s="224"/>
      <c r="F58" s="183" t="s">
        <v>277</v>
      </c>
      <c r="G58" s="167" t="s">
        <v>433</v>
      </c>
      <c r="H58" s="168" t="s">
        <v>39</v>
      </c>
      <c r="I58" s="166"/>
      <c r="J58" s="175" t="s">
        <v>504</v>
      </c>
      <c r="K58" s="176" t="s">
        <v>505</v>
      </c>
      <c r="L58" s="169" t="s">
        <v>506</v>
      </c>
      <c r="M58" s="171" t="s">
        <v>466</v>
      </c>
      <c r="N58" s="97" t="s">
        <v>467</v>
      </c>
      <c r="O58" s="171" t="s">
        <v>466</v>
      </c>
      <c r="P58" s="149" t="s">
        <v>507</v>
      </c>
      <c r="Q58" s="172">
        <v>46023</v>
      </c>
      <c r="R58" s="164" t="s">
        <v>96</v>
      </c>
      <c r="S58" s="173" t="s">
        <v>508</v>
      </c>
      <c r="T58" s="149" t="s">
        <v>461</v>
      </c>
      <c r="U58" s="149" t="s">
        <v>137</v>
      </c>
      <c r="V58" s="174"/>
    </row>
    <row r="59" spans="1:22" ht="409.6">
      <c r="A59" s="48" t="s">
        <v>452</v>
      </c>
      <c r="B59" s="177" t="s">
        <v>509</v>
      </c>
      <c r="C59" s="178"/>
      <c r="D59" s="178"/>
      <c r="E59" s="225"/>
      <c r="F59" s="183" t="s">
        <v>277</v>
      </c>
      <c r="G59" s="179" t="s">
        <v>26</v>
      </c>
      <c r="H59" s="168" t="s">
        <v>39</v>
      </c>
      <c r="I59" s="178"/>
      <c r="J59" s="175" t="s">
        <v>510</v>
      </c>
      <c r="K59" s="169" t="s">
        <v>511</v>
      </c>
      <c r="L59" s="169" t="s">
        <v>492</v>
      </c>
      <c r="M59" s="180">
        <v>1800000</v>
      </c>
      <c r="N59" s="97" t="s">
        <v>154</v>
      </c>
      <c r="O59" s="170" t="s">
        <v>512</v>
      </c>
      <c r="P59" s="169" t="s">
        <v>513</v>
      </c>
      <c r="Q59" s="172">
        <v>46082</v>
      </c>
      <c r="R59" s="164" t="s">
        <v>96</v>
      </c>
      <c r="S59" s="169" t="s">
        <v>514</v>
      </c>
      <c r="T59" s="149" t="s">
        <v>461</v>
      </c>
      <c r="U59" s="181" t="s">
        <v>137</v>
      </c>
      <c r="V59" s="169"/>
    </row>
    <row r="60" spans="1:22" ht="409.6">
      <c r="A60" s="48" t="s">
        <v>452</v>
      </c>
      <c r="B60" s="182" t="s">
        <v>515</v>
      </c>
      <c r="C60" s="183"/>
      <c r="D60" s="183"/>
      <c r="E60" s="226"/>
      <c r="F60" s="183" t="s">
        <v>277</v>
      </c>
      <c r="G60" s="167" t="s">
        <v>76</v>
      </c>
      <c r="H60" s="168" t="s">
        <v>64</v>
      </c>
      <c r="I60" s="183"/>
      <c r="J60" s="174" t="s">
        <v>516</v>
      </c>
      <c r="K60" s="173" t="s">
        <v>517</v>
      </c>
      <c r="L60" s="149" t="s">
        <v>472</v>
      </c>
      <c r="M60" s="180">
        <v>7112000</v>
      </c>
      <c r="N60" s="97" t="s">
        <v>154</v>
      </c>
      <c r="O60" s="170" t="s">
        <v>518</v>
      </c>
      <c r="P60" s="149" t="s">
        <v>519</v>
      </c>
      <c r="Q60" s="184">
        <v>46023</v>
      </c>
      <c r="R60" s="184" t="s">
        <v>520</v>
      </c>
      <c r="S60" s="174" t="s">
        <v>521</v>
      </c>
      <c r="T60" s="149" t="s">
        <v>461</v>
      </c>
      <c r="U60" s="174" t="s">
        <v>137</v>
      </c>
      <c r="V60" s="174"/>
    </row>
    <row r="61" spans="1:22" ht="409.6">
      <c r="A61" s="48" t="s">
        <v>452</v>
      </c>
      <c r="B61" s="182" t="s">
        <v>522</v>
      </c>
      <c r="C61" s="183"/>
      <c r="D61" s="183"/>
      <c r="E61" s="226"/>
      <c r="F61" s="183" t="s">
        <v>277</v>
      </c>
      <c r="G61" s="167" t="s">
        <v>76</v>
      </c>
      <c r="H61" s="174" t="s">
        <v>20</v>
      </c>
      <c r="I61" s="183"/>
      <c r="J61" s="174" t="s">
        <v>523</v>
      </c>
      <c r="K61" s="174" t="s">
        <v>524</v>
      </c>
      <c r="L61" s="174" t="s">
        <v>525</v>
      </c>
      <c r="M61" s="185">
        <v>450000</v>
      </c>
      <c r="N61" s="97" t="s">
        <v>154</v>
      </c>
      <c r="O61" s="149" t="s">
        <v>466</v>
      </c>
      <c r="P61" s="174" t="s">
        <v>526</v>
      </c>
      <c r="Q61" s="173" t="s">
        <v>527</v>
      </c>
      <c r="R61" s="173" t="s">
        <v>528</v>
      </c>
      <c r="S61" s="174" t="s">
        <v>529</v>
      </c>
      <c r="T61" s="174" t="s">
        <v>530</v>
      </c>
      <c r="U61" s="174" t="s">
        <v>137</v>
      </c>
      <c r="V61" s="174"/>
    </row>
    <row r="62" spans="1:22" ht="409.6">
      <c r="A62" s="48" t="s">
        <v>452</v>
      </c>
      <c r="B62" s="162" t="s">
        <v>531</v>
      </c>
      <c r="C62" s="163"/>
      <c r="D62" s="163"/>
      <c r="E62" s="223"/>
      <c r="F62" s="183" t="s">
        <v>277</v>
      </c>
      <c r="G62" s="167" t="s">
        <v>76</v>
      </c>
      <c r="H62" s="174" t="s">
        <v>20</v>
      </c>
      <c r="I62" s="163"/>
      <c r="J62" s="149" t="s">
        <v>532</v>
      </c>
      <c r="K62" s="149" t="s">
        <v>533</v>
      </c>
      <c r="L62" s="149" t="s">
        <v>534</v>
      </c>
      <c r="M62" s="186" t="s">
        <v>535</v>
      </c>
      <c r="N62" s="97" t="s">
        <v>154</v>
      </c>
      <c r="O62" s="149" t="s">
        <v>536</v>
      </c>
      <c r="P62" s="149" t="s">
        <v>519</v>
      </c>
      <c r="Q62" s="152">
        <v>46054</v>
      </c>
      <c r="R62" s="151" t="s">
        <v>528</v>
      </c>
      <c r="S62" s="149" t="s">
        <v>537</v>
      </c>
      <c r="T62" s="149" t="s">
        <v>538</v>
      </c>
      <c r="U62" s="149" t="s">
        <v>137</v>
      </c>
      <c r="V62" s="149" t="s">
        <v>539</v>
      </c>
    </row>
    <row r="63" spans="1:22" ht="409.6">
      <c r="A63" s="48" t="s">
        <v>452</v>
      </c>
      <c r="B63" s="162" t="s">
        <v>540</v>
      </c>
      <c r="C63" s="163"/>
      <c r="D63" s="163"/>
      <c r="E63" s="223"/>
      <c r="F63" s="183" t="s">
        <v>277</v>
      </c>
      <c r="G63" s="167" t="s">
        <v>76</v>
      </c>
      <c r="H63" s="174" t="s">
        <v>20</v>
      </c>
      <c r="I63" s="163"/>
      <c r="J63" s="59" t="s">
        <v>541</v>
      </c>
      <c r="K63" s="149" t="s">
        <v>542</v>
      </c>
      <c r="L63" s="149" t="s">
        <v>543</v>
      </c>
      <c r="M63" s="187" t="s">
        <v>544</v>
      </c>
      <c r="N63" s="97" t="s">
        <v>154</v>
      </c>
      <c r="O63" s="149" t="s">
        <v>545</v>
      </c>
      <c r="P63" s="149" t="s">
        <v>519</v>
      </c>
      <c r="Q63" s="152">
        <v>46054</v>
      </c>
      <c r="R63" s="151" t="s">
        <v>528</v>
      </c>
      <c r="S63" s="149" t="s">
        <v>537</v>
      </c>
      <c r="T63" s="149" t="s">
        <v>461</v>
      </c>
      <c r="U63" s="149" t="s">
        <v>137</v>
      </c>
      <c r="V63" s="149" t="s">
        <v>546</v>
      </c>
    </row>
    <row r="64" spans="1:22" ht="409.6">
      <c r="A64" s="48" t="s">
        <v>452</v>
      </c>
      <c r="B64" s="177" t="s">
        <v>547</v>
      </c>
      <c r="C64" s="178"/>
      <c r="D64" s="178"/>
      <c r="E64" s="225"/>
      <c r="F64" s="183" t="s">
        <v>277</v>
      </c>
      <c r="G64" s="188" t="s">
        <v>76</v>
      </c>
      <c r="H64" s="189" t="s">
        <v>64</v>
      </c>
      <c r="I64" s="178"/>
      <c r="J64" s="189" t="s">
        <v>548</v>
      </c>
      <c r="K64" s="173" t="s">
        <v>517</v>
      </c>
      <c r="L64" s="173" t="s">
        <v>549</v>
      </c>
      <c r="M64" s="190" t="s">
        <v>153</v>
      </c>
      <c r="N64" s="97" t="s">
        <v>44</v>
      </c>
      <c r="O64" s="173" t="s">
        <v>550</v>
      </c>
      <c r="P64" s="169" t="s">
        <v>551</v>
      </c>
      <c r="Q64" s="184">
        <v>46054</v>
      </c>
      <c r="R64" s="152" t="s">
        <v>552</v>
      </c>
      <c r="S64" s="173" t="s">
        <v>553</v>
      </c>
      <c r="T64" s="169" t="s">
        <v>554</v>
      </c>
      <c r="U64" s="181" t="s">
        <v>137</v>
      </c>
      <c r="V64" s="169"/>
    </row>
    <row r="65" spans="1:22" ht="409.6">
      <c r="A65" s="48" t="s">
        <v>452</v>
      </c>
      <c r="B65" s="182" t="s">
        <v>555</v>
      </c>
      <c r="C65" s="183"/>
      <c r="D65" s="183"/>
      <c r="E65" s="226"/>
      <c r="F65" s="183" t="s">
        <v>277</v>
      </c>
      <c r="G65" s="167" t="s">
        <v>26</v>
      </c>
      <c r="H65" s="149" t="s">
        <v>39</v>
      </c>
      <c r="I65" s="183"/>
      <c r="J65" s="174" t="s">
        <v>556</v>
      </c>
      <c r="K65" s="149" t="s">
        <v>557</v>
      </c>
      <c r="L65" s="149" t="s">
        <v>558</v>
      </c>
      <c r="M65" s="190" t="s">
        <v>153</v>
      </c>
      <c r="N65" s="191" t="s">
        <v>466</v>
      </c>
      <c r="O65" s="191" t="s">
        <v>466</v>
      </c>
      <c r="P65" s="174" t="s">
        <v>559</v>
      </c>
      <c r="Q65" s="192">
        <v>46174</v>
      </c>
      <c r="R65" s="192">
        <v>46813</v>
      </c>
      <c r="S65" s="193" t="s">
        <v>560</v>
      </c>
      <c r="T65" s="149" t="s">
        <v>461</v>
      </c>
      <c r="U65" s="193" t="s">
        <v>137</v>
      </c>
      <c r="V65" s="193"/>
    </row>
    <row r="66" spans="1:22" ht="409.6">
      <c r="A66" s="48" t="s">
        <v>452</v>
      </c>
      <c r="B66" s="182" t="s">
        <v>561</v>
      </c>
      <c r="C66" s="183"/>
      <c r="D66" s="183"/>
      <c r="E66" s="226"/>
      <c r="F66" s="183" t="s">
        <v>277</v>
      </c>
      <c r="G66" s="167" t="s">
        <v>433</v>
      </c>
      <c r="H66" s="149" t="s">
        <v>39</v>
      </c>
      <c r="I66" s="183"/>
      <c r="J66" s="174" t="s">
        <v>562</v>
      </c>
      <c r="K66" s="174" t="s">
        <v>563</v>
      </c>
      <c r="L66" s="174" t="s">
        <v>564</v>
      </c>
      <c r="M66" s="149" t="s">
        <v>565</v>
      </c>
      <c r="N66" s="149" t="s">
        <v>566</v>
      </c>
      <c r="O66" s="149" t="s">
        <v>567</v>
      </c>
      <c r="P66" s="174" t="s">
        <v>568</v>
      </c>
      <c r="Q66" s="192">
        <v>45444</v>
      </c>
      <c r="R66" s="192">
        <v>46327</v>
      </c>
      <c r="S66" s="193" t="s">
        <v>560</v>
      </c>
      <c r="T66" s="174" t="s">
        <v>569</v>
      </c>
      <c r="U66" s="193" t="s">
        <v>137</v>
      </c>
      <c r="V66" s="193"/>
    </row>
    <row r="67" spans="1:22" ht="409.6">
      <c r="A67" s="48" t="s">
        <v>452</v>
      </c>
      <c r="B67" s="182" t="s">
        <v>570</v>
      </c>
      <c r="C67" s="183"/>
      <c r="D67" s="183"/>
      <c r="E67" s="226"/>
      <c r="F67" s="183" t="s">
        <v>277</v>
      </c>
      <c r="G67" s="167" t="s">
        <v>26</v>
      </c>
      <c r="H67" s="149" t="s">
        <v>39</v>
      </c>
      <c r="I67" s="183"/>
      <c r="J67" s="174" t="s">
        <v>571</v>
      </c>
      <c r="K67" s="149" t="s">
        <v>572</v>
      </c>
      <c r="L67" s="191" t="s">
        <v>466</v>
      </c>
      <c r="M67" s="190" t="s">
        <v>153</v>
      </c>
      <c r="N67" s="191" t="s">
        <v>466</v>
      </c>
      <c r="O67" s="174" t="s">
        <v>573</v>
      </c>
      <c r="P67" s="174" t="s">
        <v>574</v>
      </c>
      <c r="Q67" s="192">
        <v>46082</v>
      </c>
      <c r="R67" s="192">
        <v>47121</v>
      </c>
      <c r="S67" s="193" t="s">
        <v>560</v>
      </c>
      <c r="T67" s="149" t="s">
        <v>461</v>
      </c>
      <c r="U67" s="193" t="s">
        <v>137</v>
      </c>
      <c r="V67" s="193"/>
    </row>
    <row r="68" spans="1:22" ht="409.6">
      <c r="A68" s="48" t="s">
        <v>452</v>
      </c>
      <c r="B68" s="182" t="s">
        <v>575</v>
      </c>
      <c r="C68" s="183"/>
      <c r="D68" s="183"/>
      <c r="E68" s="226"/>
      <c r="F68" s="183" t="s">
        <v>277</v>
      </c>
      <c r="G68" s="167" t="s">
        <v>26</v>
      </c>
      <c r="H68" s="149" t="s">
        <v>39</v>
      </c>
      <c r="I68" s="183"/>
      <c r="J68" s="174" t="s">
        <v>576</v>
      </c>
      <c r="K68" s="149" t="s">
        <v>577</v>
      </c>
      <c r="L68" s="191" t="s">
        <v>466</v>
      </c>
      <c r="M68" s="149" t="s">
        <v>578</v>
      </c>
      <c r="N68" s="191" t="s">
        <v>466</v>
      </c>
      <c r="O68" s="194" t="s">
        <v>153</v>
      </c>
      <c r="P68" s="174" t="s">
        <v>579</v>
      </c>
      <c r="Q68" s="192">
        <v>46174</v>
      </c>
      <c r="R68" s="192">
        <v>46539</v>
      </c>
      <c r="S68" s="193" t="s">
        <v>560</v>
      </c>
      <c r="T68" s="149" t="s">
        <v>461</v>
      </c>
      <c r="U68" s="193" t="s">
        <v>137</v>
      </c>
      <c r="V68" s="193"/>
    </row>
    <row r="69" spans="1:22" ht="409.6">
      <c r="A69" s="48" t="s">
        <v>452</v>
      </c>
      <c r="B69" s="145" t="s">
        <v>580</v>
      </c>
      <c r="C69" s="146"/>
      <c r="D69" s="146"/>
      <c r="E69" s="221"/>
      <c r="F69" s="200" t="s">
        <v>581</v>
      </c>
      <c r="G69" s="160" t="s">
        <v>26</v>
      </c>
      <c r="H69" s="148" t="s">
        <v>27</v>
      </c>
      <c r="I69" s="146"/>
      <c r="J69" s="149" t="s">
        <v>582</v>
      </c>
      <c r="K69" s="171" t="s">
        <v>466</v>
      </c>
      <c r="L69" s="171" t="s">
        <v>466</v>
      </c>
      <c r="M69" s="171" t="s">
        <v>466</v>
      </c>
      <c r="N69" s="97" t="s">
        <v>467</v>
      </c>
      <c r="O69" s="191" t="s">
        <v>466</v>
      </c>
      <c r="P69" s="191" t="s">
        <v>466</v>
      </c>
      <c r="Q69" s="152">
        <v>44835</v>
      </c>
      <c r="R69" s="152">
        <v>45930</v>
      </c>
      <c r="S69" s="149" t="s">
        <v>583</v>
      </c>
      <c r="T69" s="191" t="s">
        <v>466</v>
      </c>
      <c r="U69" s="149" t="s">
        <v>137</v>
      </c>
      <c r="V69" s="149"/>
    </row>
    <row r="70" spans="1:22" ht="159">
      <c r="A70" s="13" t="s">
        <v>584</v>
      </c>
      <c r="B70" s="195" t="s">
        <v>585</v>
      </c>
      <c r="C70" s="71"/>
      <c r="D70" s="71"/>
      <c r="E70" s="70"/>
      <c r="F70" s="200" t="s">
        <v>581</v>
      </c>
      <c r="G70" s="72" t="s">
        <v>76</v>
      </c>
      <c r="H70" s="73" t="s">
        <v>27</v>
      </c>
      <c r="I70" s="71"/>
      <c r="J70" s="196" t="s">
        <v>586</v>
      </c>
      <c r="K70" s="71"/>
      <c r="L70" s="71"/>
      <c r="M70" s="197"/>
      <c r="N70" s="75"/>
      <c r="O70" s="198"/>
      <c r="P70" s="71"/>
      <c r="Q70" s="198"/>
      <c r="R70" s="198"/>
      <c r="S70" s="198"/>
      <c r="T70" s="198"/>
      <c r="U70" s="75"/>
    </row>
    <row r="71" spans="1:22" ht="136.5">
      <c r="A71" s="13" t="s">
        <v>584</v>
      </c>
      <c r="B71" s="195" t="s">
        <v>587</v>
      </c>
      <c r="C71" s="71"/>
      <c r="D71" s="71"/>
      <c r="E71" s="70"/>
      <c r="F71" s="200" t="s">
        <v>581</v>
      </c>
      <c r="G71" s="72" t="s">
        <v>76</v>
      </c>
      <c r="H71" s="73" t="s">
        <v>27</v>
      </c>
      <c r="I71" s="71"/>
      <c r="J71" s="196" t="s">
        <v>588</v>
      </c>
      <c r="K71" s="71"/>
      <c r="L71" s="71"/>
      <c r="M71" s="197"/>
      <c r="N71" s="75"/>
      <c r="O71" s="198"/>
      <c r="P71" s="71"/>
      <c r="Q71" s="198"/>
      <c r="R71" s="198"/>
      <c r="S71" s="198"/>
      <c r="T71" s="198"/>
      <c r="U71" s="75"/>
    </row>
    <row r="72" spans="1:22" ht="204.75">
      <c r="A72" s="13" t="s">
        <v>584</v>
      </c>
      <c r="B72" s="195" t="s">
        <v>589</v>
      </c>
      <c r="C72" s="71"/>
      <c r="D72" s="71"/>
      <c r="E72" s="70"/>
      <c r="F72" s="200" t="s">
        <v>581</v>
      </c>
      <c r="G72" s="72" t="s">
        <v>76</v>
      </c>
      <c r="H72" s="73" t="s">
        <v>27</v>
      </c>
      <c r="I72" s="71"/>
      <c r="J72" s="196" t="s">
        <v>590</v>
      </c>
      <c r="K72" s="71"/>
      <c r="L72" s="71"/>
      <c r="M72" s="197"/>
      <c r="N72" s="75"/>
      <c r="O72" s="198"/>
      <c r="P72" s="71"/>
      <c r="Q72" s="198"/>
      <c r="R72" s="198"/>
      <c r="S72" s="198"/>
      <c r="T72" s="198"/>
      <c r="U72" s="75"/>
    </row>
    <row r="73" spans="1:22" ht="181.5">
      <c r="A73" s="13" t="s">
        <v>584</v>
      </c>
      <c r="B73" s="195" t="s">
        <v>591</v>
      </c>
      <c r="C73" s="71"/>
      <c r="D73" s="71"/>
      <c r="E73" s="70"/>
      <c r="F73" s="200" t="s">
        <v>581</v>
      </c>
      <c r="G73" s="72" t="s">
        <v>76</v>
      </c>
      <c r="H73" s="73" t="s">
        <v>27</v>
      </c>
      <c r="I73" s="71"/>
      <c r="J73" s="196" t="s">
        <v>592</v>
      </c>
      <c r="K73" s="71"/>
      <c r="L73" s="71"/>
      <c r="M73" s="197"/>
      <c r="N73" s="75"/>
      <c r="O73" s="198"/>
      <c r="P73" s="71"/>
      <c r="Q73" s="198"/>
      <c r="R73" s="198"/>
      <c r="S73" s="198"/>
      <c r="T73" s="198"/>
      <c r="U73" s="75"/>
    </row>
    <row r="74" spans="1:22" ht="249">
      <c r="A74" s="13" t="s">
        <v>584</v>
      </c>
      <c r="B74" s="210" t="s">
        <v>593</v>
      </c>
      <c r="C74" s="204"/>
      <c r="D74" s="204"/>
      <c r="E74" s="205"/>
      <c r="F74" s="200" t="s">
        <v>581</v>
      </c>
      <c r="G74" s="211" t="s">
        <v>26</v>
      </c>
      <c r="H74" s="208" t="s">
        <v>39</v>
      </c>
      <c r="I74" s="204"/>
      <c r="J74" s="203" t="s">
        <v>594</v>
      </c>
      <c r="K74" s="204"/>
      <c r="L74" s="204"/>
      <c r="M74" s="209"/>
      <c r="N74" s="206"/>
      <c r="O74" s="207"/>
      <c r="P74" s="204"/>
      <c r="Q74" s="207"/>
      <c r="R74" s="207"/>
      <c r="S74" s="207"/>
      <c r="T74" s="207"/>
      <c r="U74" s="206"/>
    </row>
    <row r="75" spans="1:22" ht="204.75">
      <c r="A75" s="13" t="s">
        <v>584</v>
      </c>
      <c r="B75" s="210" t="s">
        <v>595</v>
      </c>
      <c r="C75" s="204"/>
      <c r="D75" s="204"/>
      <c r="E75" s="205"/>
      <c r="F75" s="200" t="s">
        <v>581</v>
      </c>
      <c r="G75" s="211" t="s">
        <v>26</v>
      </c>
      <c r="H75" s="208" t="s">
        <v>27</v>
      </c>
      <c r="I75" s="204"/>
      <c r="J75" s="203" t="s">
        <v>596</v>
      </c>
      <c r="K75" s="204"/>
      <c r="L75" s="204"/>
      <c r="M75" s="209"/>
      <c r="N75" s="206"/>
      <c r="O75" s="207"/>
      <c r="P75" s="204"/>
      <c r="Q75" s="207"/>
      <c r="R75" s="207"/>
      <c r="S75" s="207"/>
      <c r="T75" s="207"/>
      <c r="U75" s="206"/>
    </row>
    <row r="76" spans="1:22" ht="24">
      <c r="A76" s="13" t="s">
        <v>584</v>
      </c>
      <c r="B76" s="210" t="s">
        <v>597</v>
      </c>
      <c r="C76" s="204"/>
      <c r="D76" s="204"/>
      <c r="E76" s="205"/>
      <c r="F76" s="200" t="s">
        <v>581</v>
      </c>
      <c r="G76" s="211" t="s">
        <v>26</v>
      </c>
      <c r="H76" s="208" t="s">
        <v>27</v>
      </c>
      <c r="I76" s="204"/>
      <c r="J76" s="203"/>
      <c r="K76" s="204"/>
      <c r="L76" s="204"/>
      <c r="M76" s="209" t="s">
        <v>174</v>
      </c>
      <c r="N76" s="206"/>
      <c r="O76" s="207"/>
      <c r="P76" s="204"/>
      <c r="Q76" s="207"/>
      <c r="R76" s="207"/>
      <c r="S76" s="207"/>
      <c r="T76" s="207"/>
      <c r="U76" s="206"/>
    </row>
    <row r="77" spans="1:22" ht="90.75">
      <c r="A77" s="13" t="s">
        <v>584</v>
      </c>
      <c r="B77" s="210" t="s">
        <v>598</v>
      </c>
      <c r="C77" s="204"/>
      <c r="D77" s="204"/>
      <c r="E77" s="205"/>
      <c r="F77" s="200" t="s">
        <v>581</v>
      </c>
      <c r="G77" s="211" t="s">
        <v>26</v>
      </c>
      <c r="H77" s="208" t="s">
        <v>117</v>
      </c>
      <c r="I77" s="204"/>
      <c r="J77" s="203"/>
      <c r="K77" s="204" t="s">
        <v>599</v>
      </c>
      <c r="L77" s="204" t="s">
        <v>600</v>
      </c>
      <c r="M77" s="205" t="s">
        <v>601</v>
      </c>
      <c r="N77" s="206" t="s">
        <v>154</v>
      </c>
      <c r="O77" s="204" t="s">
        <v>602</v>
      </c>
      <c r="P77" s="204"/>
      <c r="Q77" s="207" t="s">
        <v>153</v>
      </c>
      <c r="R77" s="207" t="s">
        <v>281</v>
      </c>
      <c r="S77" s="207"/>
      <c r="T77" s="207"/>
      <c r="U77" s="208" t="s">
        <v>603</v>
      </c>
    </row>
    <row r="78" spans="1:22" ht="68.25">
      <c r="A78" s="13" t="s">
        <v>584</v>
      </c>
      <c r="B78" s="199" t="s">
        <v>604</v>
      </c>
      <c r="C78" s="200"/>
      <c r="D78" s="200"/>
      <c r="E78" s="217"/>
      <c r="F78" s="200" t="s">
        <v>581</v>
      </c>
      <c r="G78" s="201" t="s">
        <v>76</v>
      </c>
      <c r="H78" s="202" t="s">
        <v>39</v>
      </c>
      <c r="I78" s="200"/>
      <c r="J78" s="202" t="s">
        <v>605</v>
      </c>
      <c r="K78" s="212"/>
      <c r="L78" s="212"/>
      <c r="M78" s="202" t="s">
        <v>606</v>
      </c>
      <c r="N78" s="212"/>
      <c r="O78" s="212"/>
      <c r="P78" s="212"/>
      <c r="Q78" s="212"/>
      <c r="R78" s="212"/>
      <c r="S78" s="212"/>
      <c r="T78" s="213"/>
      <c r="U78" s="213"/>
    </row>
    <row r="79" spans="1:22" ht="68.25">
      <c r="A79" s="13" t="s">
        <v>584</v>
      </c>
      <c r="B79" s="199" t="s">
        <v>607</v>
      </c>
      <c r="C79" s="200"/>
      <c r="D79" s="200"/>
      <c r="E79" s="217"/>
      <c r="F79" s="200" t="s">
        <v>581</v>
      </c>
      <c r="G79" s="201" t="s">
        <v>0</v>
      </c>
      <c r="H79" s="202" t="s">
        <v>39</v>
      </c>
      <c r="I79" s="200"/>
      <c r="J79" s="212" t="s">
        <v>608</v>
      </c>
      <c r="K79" s="212"/>
      <c r="L79" s="212"/>
      <c r="M79" s="212" t="s">
        <v>609</v>
      </c>
      <c r="N79" s="212"/>
      <c r="O79" s="212"/>
      <c r="P79" s="212"/>
      <c r="Q79" s="212"/>
      <c r="R79" s="212"/>
      <c r="S79" s="212"/>
      <c r="T79" s="212"/>
      <c r="U79" s="212"/>
    </row>
    <row r="80" spans="1:22" ht="68.25">
      <c r="A80" s="13" t="s">
        <v>584</v>
      </c>
      <c r="B80" s="199" t="s">
        <v>610</v>
      </c>
      <c r="C80" s="200"/>
      <c r="D80" s="200"/>
      <c r="E80" s="217"/>
      <c r="F80" s="200" t="s">
        <v>581</v>
      </c>
      <c r="G80" s="201" t="s">
        <v>0</v>
      </c>
      <c r="H80" s="202" t="s">
        <v>39</v>
      </c>
      <c r="I80" s="200"/>
      <c r="J80" s="212"/>
      <c r="K80" s="212"/>
      <c r="L80" s="212"/>
      <c r="M80" s="212"/>
      <c r="N80" s="212"/>
      <c r="O80" s="212"/>
      <c r="P80" s="212"/>
      <c r="Q80" s="212"/>
      <c r="R80" s="212"/>
      <c r="S80" s="212"/>
      <c r="T80" s="212"/>
      <c r="U80" s="212"/>
    </row>
    <row r="81" spans="1:25" ht="317.25">
      <c r="A81" s="216" t="s">
        <v>611</v>
      </c>
      <c r="B81" s="200" t="s">
        <v>612</v>
      </c>
      <c r="C81" s="216"/>
      <c r="D81" s="216"/>
      <c r="E81" s="227"/>
      <c r="F81" s="216" t="s">
        <v>149</v>
      </c>
      <c r="G81" s="228" t="s">
        <v>26</v>
      </c>
      <c r="H81" s="200" t="s">
        <v>39</v>
      </c>
      <c r="I81" s="216"/>
      <c r="J81" s="200" t="s">
        <v>613</v>
      </c>
      <c r="K81" s="200" t="s">
        <v>614</v>
      </c>
      <c r="L81" s="200" t="s">
        <v>615</v>
      </c>
      <c r="M81" s="200">
        <v>153846</v>
      </c>
      <c r="N81" s="200" t="s">
        <v>154</v>
      </c>
      <c r="O81" s="200" t="s">
        <v>616</v>
      </c>
      <c r="P81" s="200" t="s">
        <v>617</v>
      </c>
      <c r="Q81" s="200">
        <v>46082</v>
      </c>
      <c r="R81" s="200">
        <v>46295</v>
      </c>
      <c r="S81" s="200" t="s">
        <v>618</v>
      </c>
      <c r="T81" s="200" t="s">
        <v>619</v>
      </c>
      <c r="U81" s="217" t="s">
        <v>620</v>
      </c>
      <c r="V81" s="200" t="s">
        <v>621</v>
      </c>
      <c r="W81" s="215"/>
      <c r="X81" s="212"/>
      <c r="Y81" s="202"/>
    </row>
    <row r="82" spans="1:25" ht="204.75">
      <c r="A82" s="216" t="s">
        <v>611</v>
      </c>
      <c r="B82" s="200" t="s">
        <v>622</v>
      </c>
      <c r="C82" s="216"/>
      <c r="D82" s="216"/>
      <c r="E82" s="227"/>
      <c r="F82" s="216" t="s">
        <v>149</v>
      </c>
      <c r="G82" s="228" t="s">
        <v>26</v>
      </c>
      <c r="H82" s="200" t="s">
        <v>20</v>
      </c>
      <c r="I82" s="216"/>
      <c r="J82" s="200" t="s">
        <v>623</v>
      </c>
      <c r="K82" s="200" t="s">
        <v>624</v>
      </c>
      <c r="L82" s="200"/>
      <c r="M82" s="200"/>
      <c r="N82" s="200"/>
      <c r="O82" s="200"/>
      <c r="P82" s="200" t="s">
        <v>625</v>
      </c>
      <c r="Q82" s="200"/>
      <c r="R82" s="200"/>
      <c r="S82" s="200"/>
      <c r="T82" s="200"/>
      <c r="U82" s="200"/>
      <c r="V82" s="218"/>
      <c r="W82" s="215"/>
      <c r="X82" s="212"/>
      <c r="Y82" s="202"/>
    </row>
    <row r="83" spans="1:25" ht="204.75">
      <c r="A83" s="216" t="s">
        <v>611</v>
      </c>
      <c r="B83" s="200" t="s">
        <v>626</v>
      </c>
      <c r="C83" s="216"/>
      <c r="D83" s="216"/>
      <c r="E83" s="227"/>
      <c r="F83" s="216" t="s">
        <v>149</v>
      </c>
      <c r="G83" s="228" t="s">
        <v>0</v>
      </c>
      <c r="H83" s="200" t="s">
        <v>39</v>
      </c>
      <c r="I83" s="216"/>
      <c r="J83" s="200" t="s">
        <v>627</v>
      </c>
      <c r="K83" s="200" t="s">
        <v>628</v>
      </c>
      <c r="L83" s="200" t="s">
        <v>629</v>
      </c>
      <c r="M83" s="200" t="s">
        <v>153</v>
      </c>
      <c r="N83" s="200" t="s">
        <v>27</v>
      </c>
      <c r="O83" s="200" t="s">
        <v>630</v>
      </c>
      <c r="P83" s="200" t="s">
        <v>631</v>
      </c>
      <c r="Q83" s="200">
        <v>46082</v>
      </c>
      <c r="R83" s="200">
        <v>46387</v>
      </c>
      <c r="S83" s="200" t="s">
        <v>632</v>
      </c>
      <c r="T83" s="200" t="s">
        <v>633</v>
      </c>
      <c r="U83" s="200" t="s">
        <v>634</v>
      </c>
      <c r="V83" s="200" t="s">
        <v>635</v>
      </c>
      <c r="W83" s="215"/>
      <c r="X83" s="212"/>
      <c r="Y83" s="202"/>
    </row>
    <row r="84" spans="1:25" ht="272.25">
      <c r="A84" s="216" t="s">
        <v>611</v>
      </c>
      <c r="B84" s="200" t="s">
        <v>636</v>
      </c>
      <c r="C84" s="216"/>
      <c r="D84" s="216"/>
      <c r="E84" s="227"/>
      <c r="F84" s="216" t="s">
        <v>149</v>
      </c>
      <c r="G84" s="228" t="s">
        <v>0</v>
      </c>
      <c r="H84" s="200" t="s">
        <v>39</v>
      </c>
      <c r="I84" s="216"/>
      <c r="J84" s="200" t="s">
        <v>637</v>
      </c>
      <c r="K84" s="200" t="s">
        <v>638</v>
      </c>
      <c r="L84" s="200" t="s">
        <v>639</v>
      </c>
      <c r="M84" s="200" t="s">
        <v>153</v>
      </c>
      <c r="N84" s="200" t="s">
        <v>154</v>
      </c>
      <c r="O84" s="200" t="s">
        <v>640</v>
      </c>
      <c r="P84" s="200" t="s">
        <v>641</v>
      </c>
      <c r="Q84" s="200" t="s">
        <v>642</v>
      </c>
      <c r="R84" s="200" t="s">
        <v>643</v>
      </c>
      <c r="S84" s="200" t="s">
        <v>644</v>
      </c>
      <c r="T84" s="200" t="s">
        <v>645</v>
      </c>
      <c r="U84" s="200" t="s">
        <v>646</v>
      </c>
      <c r="V84" s="200" t="s">
        <v>647</v>
      </c>
      <c r="W84" s="215"/>
      <c r="X84" s="212"/>
      <c r="Y84" s="202"/>
    </row>
    <row r="85" spans="1:25" ht="363">
      <c r="A85" s="216" t="s">
        <v>611</v>
      </c>
      <c r="B85" s="200" t="s">
        <v>648</v>
      </c>
      <c r="C85" s="216"/>
      <c r="D85" s="216"/>
      <c r="E85" s="227"/>
      <c r="F85" s="216" t="s">
        <v>149</v>
      </c>
      <c r="G85" s="228" t="s">
        <v>26</v>
      </c>
      <c r="H85" s="200" t="s">
        <v>117</v>
      </c>
      <c r="I85" s="216"/>
      <c r="J85" s="200" t="s">
        <v>649</v>
      </c>
      <c r="K85" s="200" t="s">
        <v>650</v>
      </c>
      <c r="L85" s="200" t="s">
        <v>651</v>
      </c>
      <c r="M85" s="200" t="s">
        <v>652</v>
      </c>
      <c r="N85" s="200" t="s">
        <v>154</v>
      </c>
      <c r="O85" s="200" t="s">
        <v>653</v>
      </c>
      <c r="P85" s="200" t="s">
        <v>654</v>
      </c>
      <c r="Q85" s="200" t="s">
        <v>655</v>
      </c>
      <c r="R85" s="200">
        <v>46387</v>
      </c>
      <c r="S85" s="200" t="s">
        <v>632</v>
      </c>
      <c r="T85" s="200" t="s">
        <v>656</v>
      </c>
      <c r="U85" s="200" t="s">
        <v>657</v>
      </c>
      <c r="V85" s="200" t="s">
        <v>658</v>
      </c>
      <c r="W85" s="215"/>
      <c r="X85" s="212"/>
      <c r="Y85" s="202"/>
    </row>
    <row r="86" spans="1:25" ht="181.5">
      <c r="A86" s="216" t="s">
        <v>611</v>
      </c>
      <c r="B86" s="200" t="s">
        <v>659</v>
      </c>
      <c r="C86" s="216"/>
      <c r="D86" s="216"/>
      <c r="E86" s="227"/>
      <c r="F86" s="216" t="s">
        <v>149</v>
      </c>
      <c r="G86" s="228" t="s">
        <v>26</v>
      </c>
      <c r="H86" s="200" t="s">
        <v>20</v>
      </c>
      <c r="I86" s="216"/>
      <c r="J86" s="200" t="s">
        <v>660</v>
      </c>
      <c r="K86" s="200" t="s">
        <v>661</v>
      </c>
      <c r="L86" s="200" t="s">
        <v>662</v>
      </c>
      <c r="M86" s="200" t="s">
        <v>663</v>
      </c>
      <c r="N86" s="200" t="s">
        <v>154</v>
      </c>
      <c r="O86" s="200" t="s">
        <v>664</v>
      </c>
      <c r="P86" s="200" t="s">
        <v>665</v>
      </c>
      <c r="Q86" s="200" t="s">
        <v>666</v>
      </c>
      <c r="R86" s="200">
        <v>2027</v>
      </c>
      <c r="S86" s="200" t="s">
        <v>632</v>
      </c>
      <c r="T86" s="200" t="s">
        <v>667</v>
      </c>
      <c r="U86" s="200" t="s">
        <v>668</v>
      </c>
      <c r="V86" s="200"/>
      <c r="W86" s="215"/>
      <c r="X86" s="212"/>
      <c r="Y86" s="202"/>
    </row>
    <row r="87" spans="1:25" ht="294.75">
      <c r="A87" s="216" t="s">
        <v>611</v>
      </c>
      <c r="B87" s="200" t="s">
        <v>669</v>
      </c>
      <c r="C87" s="216"/>
      <c r="D87" s="216"/>
      <c r="E87" s="227"/>
      <c r="F87" s="216" t="s">
        <v>149</v>
      </c>
      <c r="G87" s="228" t="s">
        <v>0</v>
      </c>
      <c r="H87" s="200" t="s">
        <v>39</v>
      </c>
      <c r="I87" s="216"/>
      <c r="J87" s="200" t="s">
        <v>670</v>
      </c>
      <c r="K87" s="200" t="s">
        <v>671</v>
      </c>
      <c r="L87" s="200" t="s">
        <v>672</v>
      </c>
      <c r="M87" s="200" t="s">
        <v>673</v>
      </c>
      <c r="N87" s="200" t="s">
        <v>674</v>
      </c>
      <c r="O87" s="200" t="s">
        <v>675</v>
      </c>
      <c r="P87" s="200" t="s">
        <v>676</v>
      </c>
      <c r="Q87" s="200" t="s">
        <v>677</v>
      </c>
      <c r="R87" s="200" t="s">
        <v>678</v>
      </c>
      <c r="S87" s="200" t="s">
        <v>679</v>
      </c>
      <c r="T87" s="200" t="s">
        <v>680</v>
      </c>
      <c r="U87" s="200" t="s">
        <v>681</v>
      </c>
      <c r="V87" s="200" t="s">
        <v>682</v>
      </c>
      <c r="W87" s="215"/>
      <c r="X87" s="212"/>
      <c r="Y87" s="202"/>
    </row>
    <row r="88" spans="1:25" ht="294.75">
      <c r="A88" s="216" t="s">
        <v>611</v>
      </c>
      <c r="B88" s="200" t="s">
        <v>683</v>
      </c>
      <c r="C88" s="216"/>
      <c r="D88" s="216"/>
      <c r="E88" s="227"/>
      <c r="F88" s="216" t="s">
        <v>149</v>
      </c>
      <c r="G88" s="228" t="s">
        <v>26</v>
      </c>
      <c r="H88" s="200" t="s">
        <v>20</v>
      </c>
      <c r="I88" s="216"/>
      <c r="J88" s="200" t="s">
        <v>684</v>
      </c>
      <c r="K88" s="200" t="s">
        <v>685</v>
      </c>
      <c r="L88" s="200" t="s">
        <v>686</v>
      </c>
      <c r="M88" s="200" t="s">
        <v>687</v>
      </c>
      <c r="N88" s="200" t="s">
        <v>154</v>
      </c>
      <c r="O88" s="200" t="s">
        <v>688</v>
      </c>
      <c r="P88" s="200" t="s">
        <v>689</v>
      </c>
      <c r="Q88" s="200" t="s">
        <v>690</v>
      </c>
      <c r="R88" s="200" t="s">
        <v>95</v>
      </c>
      <c r="S88" s="200" t="s">
        <v>691</v>
      </c>
      <c r="T88" s="200" t="s">
        <v>692</v>
      </c>
      <c r="U88" s="200" t="s">
        <v>693</v>
      </c>
      <c r="V88" s="200" t="s">
        <v>694</v>
      </c>
      <c r="W88" s="215"/>
      <c r="X88" s="212"/>
      <c r="Y88" s="202"/>
    </row>
    <row r="89" spans="1:25" ht="249">
      <c r="A89" s="216" t="s">
        <v>611</v>
      </c>
      <c r="B89" s="200" t="s">
        <v>695</v>
      </c>
      <c r="C89" s="216"/>
      <c r="D89" s="216"/>
      <c r="E89" s="227"/>
      <c r="F89" s="216" t="s">
        <v>149</v>
      </c>
      <c r="G89" s="228" t="s">
        <v>26</v>
      </c>
      <c r="H89" s="200" t="s">
        <v>27</v>
      </c>
      <c r="I89" s="216"/>
      <c r="J89" s="200" t="s">
        <v>696</v>
      </c>
      <c r="K89" s="200" t="s">
        <v>697</v>
      </c>
      <c r="L89" s="200" t="s">
        <v>698</v>
      </c>
      <c r="M89" s="200" t="s">
        <v>153</v>
      </c>
      <c r="N89" s="200"/>
      <c r="O89" s="200" t="s">
        <v>699</v>
      </c>
      <c r="P89" s="200" t="s">
        <v>700</v>
      </c>
      <c r="Q89" s="200" t="s">
        <v>701</v>
      </c>
      <c r="R89" s="200">
        <v>2027</v>
      </c>
      <c r="S89" s="200" t="s">
        <v>702</v>
      </c>
      <c r="T89" s="200" t="s">
        <v>703</v>
      </c>
      <c r="U89" s="200" t="s">
        <v>704</v>
      </c>
      <c r="V89" s="200"/>
      <c r="W89" s="215"/>
      <c r="X89" s="212"/>
      <c r="Y89" s="202"/>
    </row>
  </sheetData>
  <autoFilter ref="A1:V89" xr:uid="{E120F900-CA8E-4704-8C53-4BD6036D9EFE}"/>
  <dataValidations count="5">
    <dataValidation allowBlank="1" showInputMessage="1" showErrorMessage="1" sqref="U15 T17:U19 K1:V1 J49 T49:U49 J44:J46 T44:U47 L68:N68 N51:N58 K69:P69 P55:P57 P59 P51:P52 V51 M52:M60 M62:M63 M66 N65 O51:O60 O61:P68 N67 K61:K68 L61:L67 J51:L60 J61:J69 U52:V60 Q61:V69 Q51:S60 T29:U39 I51:I69 F61:F68 I47:J47 I45:I46 E1:G1 B83:B84 J81:J84 T81:U84 B45:F47 B51:D69 J1:J14 T2:U14 E51:F60 I1:I15 B1:D15 F16:F20 I29:J39 E61:E69 G52:G69 E2:F15 B29:F39" xr:uid="{6FF9FDFE-57E4-4B40-95BF-0313A0EA7D2C}"/>
    <dataValidation type="list" allowBlank="1" showInputMessage="1" showErrorMessage="1" sqref="H56:I56 H52:I53 H61:I68 G81:G84 G2:G20 G29:G39 G44:G69" xr:uid="{5DAB7581-BECC-4AAE-B4EB-0F0CE0624B9D}">
      <formula1>"Statewide,Hospital,Regional"</formula1>
    </dataValidation>
    <dataValidation type="list" allowBlank="1" showInputMessage="1" showErrorMessage="1" sqref="H62:I69 H81:H84 H2:I19 H29:I39 H44:I60" xr:uid="{BE7F5688-39D1-44B4-BDC7-642A24E40DC7}">
      <formula1>"Clinical Service Redesign,Transfers and Transport,Shared Purchasing,Information Technology,Workforce,Other"</formula1>
    </dataValidation>
    <dataValidation type="list" allowBlank="1" showInputMessage="1" showErrorMessage="1" sqref="N66 N69 N81:N84 N2:N19 N29:N39 N44:N64" xr:uid="{FCCD4BAD-48FB-4417-AFFB-DE15D84CD807}">
      <formula1>"Business Case,Invoice costs,Staff costs,Vendor quote,Other"</formula1>
    </dataValidation>
    <dataValidation type="list" allowBlank="1" showInputMessage="1" showErrorMessage="1" sqref="U62:U69 U51:U60" xr:uid="{0BD46786-D78F-4B70-8408-E99632C75503}">
      <formula1>"Yes,No"</formula1>
    </dataValidation>
  </dataValidations>
  <pageMargins left="0.7" right="0.7" top="0.75" bottom="0.75" header="0.3" footer="0.3"/>
  <pageSetup orientation="portrait" r:id="rId1"/>
  <headerFooter>
    <oddHeader>&amp;C&amp;G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28815-DD33-4B9E-AF42-5F1BC271CAA9}">
  <dimension ref="A1:D14"/>
  <sheetViews>
    <sheetView workbookViewId="0">
      <selection activeCell="C22" sqref="C22"/>
    </sheetView>
  </sheetViews>
  <sheetFormatPr defaultRowHeight="15"/>
  <cols>
    <col min="2" max="2" width="28" customWidth="1"/>
    <col min="3" max="3" width="37.85546875" customWidth="1"/>
    <col min="4" max="4" width="18.42578125" customWidth="1"/>
    <col min="5" max="5" width="20.7109375" customWidth="1"/>
  </cols>
  <sheetData>
    <row r="1" spans="1:4">
      <c r="A1" s="1"/>
      <c r="B1" s="2" t="s">
        <v>2</v>
      </c>
      <c r="C1" s="2" t="s">
        <v>3</v>
      </c>
      <c r="D1" s="2"/>
    </row>
    <row r="2" spans="1:4">
      <c r="A2" s="1">
        <v>1</v>
      </c>
      <c r="B2" s="1" t="s">
        <v>705</v>
      </c>
      <c r="C2" s="1" t="s">
        <v>706</v>
      </c>
      <c r="D2" s="1"/>
    </row>
    <row r="3" spans="1:4">
      <c r="A3" s="1">
        <v>2</v>
      </c>
      <c r="B3" s="1" t="s">
        <v>707</v>
      </c>
      <c r="C3" s="1" t="s">
        <v>708</v>
      </c>
      <c r="D3" s="1"/>
    </row>
    <row r="4" spans="1:4">
      <c r="A4" s="1">
        <v>3</v>
      </c>
      <c r="B4" s="1" t="s">
        <v>709</v>
      </c>
      <c r="C4" s="1" t="s">
        <v>710</v>
      </c>
      <c r="D4" s="1"/>
    </row>
    <row r="5" spans="1:4">
      <c r="A5" s="1">
        <v>4</v>
      </c>
      <c r="B5" s="1" t="s">
        <v>711</v>
      </c>
      <c r="C5" s="1" t="s">
        <v>712</v>
      </c>
      <c r="D5" s="1"/>
    </row>
    <row r="6" spans="1:4">
      <c r="A6" s="1">
        <v>5</v>
      </c>
      <c r="B6" s="1" t="s">
        <v>713</v>
      </c>
      <c r="C6" s="1" t="s">
        <v>76</v>
      </c>
      <c r="D6" s="1"/>
    </row>
    <row r="8" spans="1:4">
      <c r="B8" s="1" t="s">
        <v>8</v>
      </c>
      <c r="C8" s="1"/>
    </row>
    <row r="9" spans="1:4" ht="60.75">
      <c r="B9" s="3" t="s">
        <v>714</v>
      </c>
      <c r="C9" s="3" t="s">
        <v>715</v>
      </c>
    </row>
    <row r="10" spans="1:4" ht="45.75">
      <c r="B10" s="3" t="s">
        <v>716</v>
      </c>
      <c r="C10" s="3" t="s">
        <v>717</v>
      </c>
    </row>
    <row r="11" spans="1:4" ht="30.75">
      <c r="B11" s="3" t="s">
        <v>718</v>
      </c>
      <c r="C11" s="3" t="s">
        <v>719</v>
      </c>
    </row>
    <row r="12" spans="1:4" ht="91.5">
      <c r="B12" s="3" t="s">
        <v>720</v>
      </c>
      <c r="C12" s="3" t="s">
        <v>721</v>
      </c>
    </row>
    <row r="13" spans="1:4" ht="76.5">
      <c r="B13" s="3" t="s">
        <v>722</v>
      </c>
      <c r="C13" s="3" t="s">
        <v>723</v>
      </c>
    </row>
    <row r="14" spans="1:4" ht="60.75">
      <c r="B14" s="3" t="s">
        <v>724</v>
      </c>
      <c r="C14" s="3" t="s">
        <v>725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e753d32-3d0e-4b0c-ba17-17810b6b2dee">
      <Terms xmlns="http://schemas.microsoft.com/office/infopath/2007/PartnerControls"/>
    </lcf76f155ced4ddcb4097134ff3c332f>
    <TaxCatchAll xmlns="c89e416c-4c29-47f7-9a79-f2bb4fe9a69b" xsi:nil="true"/>
    <_dlc_DocId xmlns="c89e416c-4c29-47f7-9a79-f2bb4fe9a69b">73WRFNMZF6N2-353167544-4783</_dlc_DocId>
    <_dlc_DocIdUrl xmlns="c89e416c-4c29-47f7-9a79-f2bb4fe9a69b">
      <Url>https://vermontgov.sharepoint.com/teams/AHS-COHealthCareReformTeam/_layouts/15/DocIdRedir.aspx?ID=73WRFNMZF6N2-353167544-4783</Url>
      <Description>73WRFNMZF6N2-353167544-4783</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A099E7FDF9CF140AD60E153A6C4B42B" ma:contentTypeVersion="13" ma:contentTypeDescription="Create a new document." ma:contentTypeScope="" ma:versionID="ec5d422e3ec4d7ff1299284bbc48ae85">
  <xsd:schema xmlns:xsd="http://www.w3.org/2001/XMLSchema" xmlns:xs="http://www.w3.org/2001/XMLSchema" xmlns:p="http://schemas.microsoft.com/office/2006/metadata/properties" xmlns:ns2="c89e416c-4c29-47f7-9a79-f2bb4fe9a69b" xmlns:ns3="9e753d32-3d0e-4b0c-ba17-17810b6b2dee" targetNamespace="http://schemas.microsoft.com/office/2006/metadata/properties" ma:root="true" ma:fieldsID="4f12c25262964174e22d8543b5737c91" ns2:_="" ns3:_="">
    <xsd:import namespace="c89e416c-4c29-47f7-9a79-f2bb4fe9a69b"/>
    <xsd:import namespace="9e753d32-3d0e-4b0c-ba17-17810b6b2de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SearchProperties" minOccurs="0"/>
                <xsd:element ref="ns3:MediaServiceObjectDetectorVersions"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e416c-4c29-47f7-9a79-f2bb4fe9a6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e894a1d2-6f5b-41bc-b314-476ab9b1f8d6}" ma:internalName="TaxCatchAll" ma:showField="CatchAllData" ma:web="c89e416c-4c29-47f7-9a79-f2bb4fe9a6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753d32-3d0e-4b0c-ba17-17810b6b2de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405ef0-1b2e-414d-886f-c62305e76806"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CE1BC1-639F-4D06-885D-1C2B20D17F7E}"/>
</file>

<file path=customXml/itemProps2.xml><?xml version="1.0" encoding="utf-8"?>
<ds:datastoreItem xmlns:ds="http://schemas.openxmlformats.org/officeDocument/2006/customXml" ds:itemID="{75550EC8-13F5-4985-B8C4-60A4798605EA}"/>
</file>

<file path=customXml/itemProps3.xml><?xml version="1.0" encoding="utf-8"?>
<ds:datastoreItem xmlns:ds="http://schemas.openxmlformats.org/officeDocument/2006/customXml" ds:itemID="{BCE64B08-F34E-458C-A905-F0FA03EEB7A5}"/>
</file>

<file path=customXml/itemProps4.xml><?xml version="1.0" encoding="utf-8"?>
<ds:datastoreItem xmlns:ds="http://schemas.openxmlformats.org/officeDocument/2006/customXml" ds:itemID="{E6708508-21FC-4151-BCE4-51F36DF13D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Stecko, Alice</dc:creator>
  <cp:keywords/>
  <dc:description/>
  <cp:lastModifiedBy>Carrell, Katelyn</cp:lastModifiedBy>
  <cp:revision/>
  <dcterms:created xsi:type="dcterms:W3CDTF">2025-10-30T14:43:30Z</dcterms:created>
  <dcterms:modified xsi:type="dcterms:W3CDTF">2026-02-17T18:26:12Z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0x0101009A099E7FDF9CF140AD60E153A6C4B42B</vt:lpwstr>
  </property>
  <property fmtid="{D5CDD505-2E9C-101B-9397-08002B2CF9AE}" pid="3" name="_dlc_DocIdItemGuid">
    <vt:lpwstr>40b62489-e974-4b3e-aa55-5d4232c88500</vt:lpwstr>
  </property>
  <property fmtid="{D5CDD505-2E9C-101B-9397-08002B2CF9AE}" pid="4" name="MediaServiceImageTags">
    <vt:lpwstr/>
  </property>
</Properties>
</file>