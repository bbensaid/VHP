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270eds327\sharedir\StrategicPlanning\LabaTeam\Budget 2026\Hospital Transformation Plan\"/>
    </mc:Choice>
  </mc:AlternateContent>
  <xr:revisionPtr revIDLastSave="20" documentId="13_ncr:1_{AEB0F4AE-4E82-4FDB-9903-DF7510862AE4}" xr6:coauthVersionLast="47" xr6:coauthVersionMax="47" xr10:uidLastSave="{ECA85961-5C8B-47B2-ABDD-781097130122}"/>
  <bookViews>
    <workbookView xWindow="19095" yWindow="-9540" windowWidth="38625" windowHeight="21105" firstSheet="3" activeTab="3" xr2:uid="{0C217AEB-ACF8-412A-87B5-FA3F27C51D23}"/>
  </bookViews>
  <sheets>
    <sheet name="Instructions" sheetId="5" r:id="rId1"/>
    <sheet name="1.Hospital Information" sheetId="2" r:id="rId2"/>
    <sheet name="2.Planned Transformation" sheetId="1" r:id="rId3"/>
    <sheet name="Sheet1" sheetId="8" r:id="rId4"/>
    <sheet name="3.Risk Mitigation" sheetId="3" r:id="rId5"/>
    <sheet name="4. Communication Strategy" sheetId="4" r:id="rId6"/>
    <sheet name="Titles" sheetId="6" r:id="rId7"/>
    <sheet name="Initiatives" sheetId="7" r:id="rId8"/>
  </sheets>
  <definedNames>
    <definedName name="_xlnm.Print_Area" localSheetId="1">'1.Hospital Information'!$A$1:$D$16</definedName>
    <definedName name="_xlnm.Print_Area" localSheetId="2">'2.Planned Transformation'!$A$1:$Q$47</definedName>
    <definedName name="_xlnm.Print_Area" localSheetId="4">'3.Risk Mitigation'!$A$1:$I$2</definedName>
    <definedName name="_xlnm.Print_Area" localSheetId="5">'4. Communication Strategy'!$A$1:$H$3</definedName>
    <definedName name="_xlnm.Print_Area" localSheetId="0">Instructions!$A$1:$M$35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<sst xmlns="http://schemas.openxmlformats.org/spreadsheetml/2006/main" count="653" uniqueCount="301">
  <si>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</si>
  <si>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</si>
  <si>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</si>
  <si>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</si>
  <si>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</si>
  <si>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</si>
  <si>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</si>
  <si>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charset val="1"/>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</si>
  <si>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</si>
  <si>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</si>
  <si>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</si>
  <si>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</si>
  <si>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</si>
  <si>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</si>
  <si>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charset val="1"/>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</si>
  <si>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</si>
  <si>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charset val="1"/>
      </rPr>
      <t>​</t>
    </r>
    <r>
      <rPr>
        <sz val="11"/>
        <rFont val="Aptos"/>
        <charset val="1"/>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</si>
  <si>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</si>
  <si>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</si>
  <si>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</si>
  <si>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</si>
  <si>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</si>
  <si>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</si>
  <si>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</si>
  <si>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</si>
  <si>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</si>
  <si>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</si>
  <si>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</si>
  <si>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</si>
  <si>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</si>
  <si>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</si>
  <si>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</si>
  <si>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</si>
  <si>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</si>
  <si>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Southwestern Vermont Medical Center</t>
  </si>
  <si>
    <t>County</t>
  </si>
  <si>
    <t>Bennington</t>
  </si>
  <si>
    <t>TIN</t>
  </si>
  <si>
    <t>22-2563241</t>
  </si>
  <si>
    <t>CCN</t>
  </si>
  <si>
    <t>Hospital Number</t>
  </si>
  <si>
    <t>Chief Executive Officer</t>
  </si>
  <si>
    <t>Tom Dee, CEO</t>
  </si>
  <si>
    <t>Senior Clinical Lead</t>
  </si>
  <si>
    <t>Trey Dobson, CMO</t>
  </si>
  <si>
    <t>Senior Finance Lead</t>
  </si>
  <si>
    <t>Robert Laba, CFO</t>
  </si>
  <si>
    <t>Senior Operations Lead</t>
  </si>
  <si>
    <t>Pam Duchene, CNO</t>
  </si>
  <si>
    <t>Other Senior Leadership</t>
  </si>
  <si>
    <t>Ron Zimmerman, VP Support Services;                             James Trimarchi, Director Planning</t>
  </si>
  <si>
    <t>Transformation Champion (who will own this work)</t>
  </si>
  <si>
    <t>Type of Hospital (PPS or CAH)</t>
  </si>
  <si>
    <t>PPS</t>
  </si>
  <si>
    <t>Hospital ownership (independent or system)</t>
  </si>
  <si>
    <t>System</t>
  </si>
  <si>
    <t>Number of hospital staffed beds</t>
  </si>
  <si>
    <t>Med/Surge 71 (lisc for 99), ICU 12, Swing 5, OB 11, Peds, 5, Basinetts 10</t>
  </si>
  <si>
    <t>Electronic health record system</t>
  </si>
  <si>
    <t>Mulitple- Meditech (hospital-based), Athena (provider practices), Picis (ORs), etc.</t>
  </si>
  <si>
    <t xml:space="preserve">Shorthand naming of initiative                            </t>
  </si>
  <si>
    <t xml:space="preserve">Transformation Goal                          (hospital, regional, statewide)                              </t>
  </si>
  <si>
    <t>Does this goal focus on hospital or regional objectives                              DROP DOWN</t>
  </si>
  <si>
    <t>Does this goal focus on one of the following themes                       DROP DOWN</t>
  </si>
  <si>
    <t xml:space="preserve">What Action Steps will be taken to accomplish the Transformation Goal?  List up to 12 Action Steps for each Transformation Goal.   Include specific details on how these goals will be planned and executed.                                                                                         </t>
  </si>
  <si>
    <t xml:space="preserve">List any stakeholders that will require coordination to achieve this goal (ie; hospitals,providers, shared purchasing entities)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</si>
  <si>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</si>
  <si>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</si>
  <si>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</si>
  <si>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</si>
  <si>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</si>
  <si>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</si>
  <si>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</si>
  <si>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</si>
  <si>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</si>
  <si>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</si>
  <si>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additonal notes, concerns or barriers if needed                                                                                                           </t>
  </si>
  <si>
    <t>Moniker</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</si>
  <si>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</si>
  <si>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</si>
  <si>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</si>
  <si>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</si>
  <si>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</si>
  <si>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</si>
  <si>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</si>
  <si>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</si>
  <si>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</si>
  <si>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</si>
  <si>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</si>
  <si>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</si>
  <si>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</si>
  <si>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</si>
  <si>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</si>
  <si>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</si>
  <si>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t>Transformations dimensions to mention in goals: Repatriation, Reduce unnecc util, Increase opp efficiency (reduce opp expenses)</t>
  </si>
  <si>
    <r>
      <rPr>
        <u/>
        <sz val="11"/>
        <color theme="3" tint="0.249977111117893"/>
        <rFont val="Aptos Narrow"/>
        <scheme val="minor"/>
      </rPr>
      <t>EXAMPLE:</t>
    </r>
    <r>
      <rPr>
        <sz val="11"/>
        <color theme="3" tint="0.249977111117893"/>
        <rFont val="Aptos Narrow"/>
        <scheme val="minor"/>
      </rPr>
      <t xml:space="preserve"> Implement hospital capacity management strategy.</t>
    </r>
  </si>
  <si>
    <t>Hospital</t>
  </si>
  <si>
    <t>Transfers and Transport</t>
  </si>
  <si>
    <t xml:space="preserve">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Implement technology, workflows, training, and staffing models identified for hospital focused interventions (Stand up hospital capacity management and transfer team, Complete Emergency Department Triage Redesign, Implement 24/48 hour discharge dashboards)
5.	Participate in statewide pulse check calls with tertiary facilities. 
6.	Work with Primary Care and other community partners to divert non-emergency care to lower intensity settings as appropriate.
7.	Monitor key indicators and adapt/adopt processes as required. 
</t>
  </si>
  <si>
    <t xml:space="preserve">Patients
Hospital Staff (Physicians/Providers, Nurses, Allied Health, Support Staff)
Local Residential Care 
Home Health and Hospice
Mobile Integrated Health
Hospital Leadership and Administration
Local EMS Providers
UVMMC/DH Transfer Centers
</t>
  </si>
  <si>
    <t xml:space="preserve">Formed stakeholder committee
Conducted Hospital Staff Surveys
Engaged Patient and Family Advisory Committee
</t>
  </si>
  <si>
    <t xml:space="preserve">•	ED Boarding Times (target &lt;= 4hrs)
•	Inpatient Bed Occupancy Rate (target: 80-85%)
•	Percentage of daily discharges before 11am (target: 25-30%)
•	Avg length of stay by service line
•	Avg time from transfer request to acceptance
•	Avg time from acceptance to patient arrival
•	Percentage of transfers accepted or denied
</t>
  </si>
  <si>
    <t>Morgan Smith</t>
  </si>
  <si>
    <t>Cost to implement includes estimate for software system upgrades, staffing and training, and integration with local EMS</t>
  </si>
  <si>
    <t>BIG IDEAS</t>
  </si>
  <si>
    <t>Suggestions for focused spending of rural transformation funds that are not specific to a hospital or region yet would deliver large reductions in healthcare spending and costs</t>
  </si>
  <si>
    <t>BIG IDEA- Lean hospital processes to decrease operating expenses</t>
  </si>
  <si>
    <t>Contract with Lean process improvement professionals and embed them in hospitals to drive operational process streamlining and sludge removal thereby reducing hospital operating expenses and allowing hospitals to be sustainable with less revenue without reducing the services offered or care quality</t>
  </si>
  <si>
    <t>Statewide</t>
  </si>
  <si>
    <t>Other</t>
  </si>
  <si>
    <t xml:space="preserve">State to: 1. Explore vendors for Healthcare specific Lean process improvement professionals, 2. Contract with a vendor, 3. Deploy Lean professionals to hospitals, 4. Identify process opportunities to Lean, 5. Fund implement of solutions that streamline operations </t>
  </si>
  <si>
    <t>BIG IDEA-Decrease unnecessary and unwanted care at end of life</t>
  </si>
  <si>
    <t>Create a series of videos, locations, and in-person supports that help Vermonters discuss end-of-life care and complete/update advanced directives thereby decrease undercompensate care utilization and reduce the cost shift to commercial insurance and Vermonters with commercial insurance.</t>
  </si>
  <si>
    <t>State to: 1. Solicit proposals for funding to launch pilots aimed at reducing end-of-life care, 2. Develop standardized method to measure impact of interventions, 3. Launch pilots, 4. Expand and translate successful pilots across the state.</t>
  </si>
  <si>
    <t xml:space="preserve">BIG IDEA- Focus care management on high utilizers </t>
  </si>
  <si>
    <t>Decrease unnecessary utilization of acute care services by high utilizers by focused case management and innovative delivery of wrap-around services that address the non-medical socioeconomic underpinning of high utilization</t>
  </si>
  <si>
    <t xml:space="preserve">State to: 1. Increase funding for case management focused on high utilizers, 2. Identify common socioeconomic underpinnings of high utilization, 3. Develop innovative programs to address the socioeconomic underpinning of high utilization, 4. Monitor whether interventions decrease unnecessary utilization </t>
  </si>
  <si>
    <t>BIG IDEA- Move patients gridlocked in acute care settings (inpatient and emergency department)</t>
  </si>
  <si>
    <t>Decrease unnecessary stay days/time on inpatient units and in the emergency department by addressing the most common causes of excessive length of stay including expediting custodial assignments and creating innovative residential options</t>
  </si>
  <si>
    <t>State to: 1. Hold focus group to identify common causes of excessive acute care length of stay, 2. Develop innovative solutions for the common causes, 3. Quickly implement pilot programs that deliver the innovative solutions, 4. Monitor whether the innovative solutions decrease excessive lengths of stay</t>
  </si>
  <si>
    <t>BUILD THE HEALTHCARE DELIVERY PLATFORM OF THE FUTURE</t>
  </si>
  <si>
    <t>Ideas that are specific to a hospital or region yet yield benefits far beyond the region</t>
  </si>
  <si>
    <t>FMRP- Increase access to primary care</t>
  </si>
  <si>
    <t>Launch FMRP in Bennington to increase access to primary care, repatriate care, and reduce unnecessary care</t>
  </si>
  <si>
    <t>Clinical Service Redesign</t>
  </si>
  <si>
    <t>Dartmouth Health GME program, Federal ACGME, M&amp;S developer of Putnam complex</t>
  </si>
  <si>
    <t>Developer engaged, DH GME Program director engaged</t>
  </si>
  <si>
    <t>$10M for facility, $3M annually after launch                                                               Financial support needed</t>
  </si>
  <si>
    <t>Business Case</t>
  </si>
  <si>
    <t>Reduction in unnecessary care utilization</t>
  </si>
  <si>
    <t>Number of FMRP residents graduating and securing employment in the region or VT</t>
  </si>
  <si>
    <t>Project start Summer 2026,                           First Resident July 2028</t>
  </si>
  <si>
    <t>TBD</t>
  </si>
  <si>
    <t>Funding from SVMC/DH operations to cover the annual financial loss generated by the FMRP</t>
  </si>
  <si>
    <t>Yes- create pipeline of primary care providers for Vermont</t>
  </si>
  <si>
    <t>Epic installation</t>
  </si>
  <si>
    <t>Install DH's digital platforms, including their Epic electronic medical record, in alignment with the state's goal, facilitate repatriation of care, reduce unnecessary care, and reduce operating expenses</t>
  </si>
  <si>
    <t>Information Technology</t>
  </si>
  <si>
    <t>DH, patients</t>
  </si>
  <si>
    <t>DH IT team fully engaged</t>
  </si>
  <si>
    <t>$30M</t>
  </si>
  <si>
    <t>Reduction in unnecessary utilization and decrease in operating expenses</t>
  </si>
  <si>
    <t>Implementation on-time and under budget</t>
  </si>
  <si>
    <t>Started necessary infrastructure development, multiphase plan available</t>
  </si>
  <si>
    <t>Fall 2028</t>
  </si>
  <si>
    <t>Balch</t>
  </si>
  <si>
    <t>Funding from SVMC/DH operations to cover the annual expense of maintain the digital platforms</t>
  </si>
  <si>
    <t>Yes- the digital platforms include AI tools that may replace some workers</t>
  </si>
  <si>
    <t>Explore Regional Clinical Integration with RRMC</t>
  </si>
  <si>
    <t xml:space="preserve">Identify 1 or 2 clinical programs that are not sensible at the hospital service area level yet make sense as a regional service </t>
  </si>
  <si>
    <t>Regional</t>
  </si>
  <si>
    <t>1. Continue discussions between SVMC and RRMC to select services to explore further (initial considerations include Allergy, ENT, Pain care, ERCP, Mental health, Alcohol detox, Podiatry, Sleep), 2. Analyze claims and patient migration data to inform selection of the specific clinical service and clinic program development, 3. Create an implementation plan to launch 1-2 specific regional clinical services</t>
  </si>
  <si>
    <t>Explore Regional Support Services</t>
  </si>
  <si>
    <t xml:space="preserve">Identify 1 or 2 clinical support programs that regionalization would reduce the hospitals' operating expenses. </t>
  </si>
  <si>
    <t>1. Continue discussions between SVMC and RRMC to select support services to explore further (initial considerations night tele-pharmacy, regional biomed services), 2. Analyze service deliverables, quality, and contracting to inform selection of the specific support service , 3. Create an implementation plan to launch 1-2 regional support services</t>
  </si>
  <si>
    <t>Regional Transformation with RRMC</t>
  </si>
  <si>
    <t>To be determined opportunity with RRMC</t>
  </si>
  <si>
    <t>Unknown</t>
  </si>
  <si>
    <t>Build Regional Patient Transport Services</t>
  </si>
  <si>
    <t>Address two chronically problematic patient transport challenges   a. Non-acute patient transport to care that reduces unnecessary acute care utilization.     b. Interfacility transport to expeditiously move patients to high levels of care or out of expensive acute care settings</t>
  </si>
  <si>
    <t>EMS squads</t>
  </si>
  <si>
    <t>Many meetings</t>
  </si>
  <si>
    <t>SVMC is investing $220,000 annually now. A more comprehensive solution would likely require more than $2M</t>
  </si>
  <si>
    <t>Reduction in operating expenses and unnecessary utilization</t>
  </si>
  <si>
    <t>N/A</t>
  </si>
  <si>
    <t>Yes, reduction in acute care staff</t>
  </si>
  <si>
    <t/>
  </si>
  <si>
    <t>CHANGE FINANCIAL INCENTIVES TO VALUE-BASED CARE</t>
  </si>
  <si>
    <t>Incentivize move from fee-for-service to value-based care arrangements that shift the benefit and sustainability of programs that align with Vermonters' health goals</t>
  </si>
  <si>
    <t>Medicaid Global Budget</t>
  </si>
  <si>
    <t>Cap healthcare spending for Vermont's Medicaid program</t>
  </si>
  <si>
    <t>SVMC entered into the Belong Health ACO for 2026</t>
  </si>
  <si>
    <t>None</t>
  </si>
  <si>
    <t>Healthcare spending relative to global budget target</t>
  </si>
  <si>
    <t>Laba</t>
  </si>
  <si>
    <t>Yes, expand case management, reduce acute care providers and staff</t>
  </si>
  <si>
    <t>Belong Health Medicare Shared Savings Program ACO</t>
  </si>
  <si>
    <t>Enter into an advanced payment model (ACO) for approximately 5,000 Vermonters on Medicare with the goal of improving care and reducing healthcare spending</t>
  </si>
  <si>
    <t>SVMC entered into Belong Health's Medicare Shared Savings Program ACO for 2026</t>
  </si>
  <si>
    <t>Healthcare spending relative to ACO target</t>
  </si>
  <si>
    <t>EXPAND SERVICES AT SVMC, keep care at a lower cost site closer to home</t>
  </si>
  <si>
    <t>Vascular</t>
  </si>
  <si>
    <t>Expand Vascular Services to repatriate care to SVMC from higher cost sites beyond Vermont and save Vermonters' healthcare dollars</t>
  </si>
  <si>
    <t>Implemented and expanding</t>
  </si>
  <si>
    <t>$0.5M</t>
  </si>
  <si>
    <t>Cancer Center Building</t>
  </si>
  <si>
    <t>Build new Cancer Center to repatriate care to SVMC from higher cost sites beyond Vermont and save Vermonters' healthcare dollars</t>
  </si>
  <si>
    <t>In-process</t>
  </si>
  <si>
    <t>$29M</t>
  </si>
  <si>
    <t>DaVinci</t>
  </si>
  <si>
    <t>Install a DaVinci surgical robot to repatriate care to SVMC from higher cost sites beyond Vermont and save Vermonters' healthcare dollars and facilitate receiving care closer to home</t>
  </si>
  <si>
    <t>Implemented</t>
  </si>
  <si>
    <t>$0.7M</t>
  </si>
  <si>
    <t>Cardiac CT scanner</t>
  </si>
  <si>
    <t>Install a Cardiac CT Scanner to repatriate care to SVMC from higher cost sites beyond Vermont and save Vermonters' healthcare dollars and stem transfers of patients that do not require cardiac catheterization</t>
  </si>
  <si>
    <t>$1.5M</t>
  </si>
  <si>
    <t>Inpatient mental health unit for adolescents</t>
  </si>
  <si>
    <t>Launch an inpatient mental health unit for adolescents to increase care access and coordination that decreases unnecessary medical care utilization and healthcare spending</t>
  </si>
  <si>
    <t>In process of being implemented</t>
  </si>
  <si>
    <t>$10M for facility, $1M to ramp up operations</t>
  </si>
  <si>
    <t>RN Bridge to Primary Care</t>
  </si>
  <si>
    <t>Launch RN Bridge to Primary Care program to increase access to primary care, repatriate care, and reduce unnecessary care</t>
  </si>
  <si>
    <t>Pilot supported through transformation funds in-process</t>
  </si>
  <si>
    <t>$180K for pilot</t>
  </si>
  <si>
    <t>Inpatient dialysis program</t>
  </si>
  <si>
    <t>Launch Inpatient Dialysis program to repatriate care</t>
  </si>
  <si>
    <t>Implemented for SVMC's dialysis patients, opportunity for accepting regional patients</t>
  </si>
  <si>
    <t>Expand pediatric inpatient medical coverage</t>
  </si>
  <si>
    <t>Hire a pediatric provider with inpatient capability to support the adolescent mental health unit and repatriate inpatient pediatric care</t>
  </si>
  <si>
    <t>$250K</t>
  </si>
  <si>
    <t>IMPROVE CARE QUALITY</t>
  </si>
  <si>
    <t>Reduction in inpatient mortality project (QAPI Priority)</t>
  </si>
  <si>
    <t>Reduce unnecessary utilization of inpatient resources and decrease expenses by expanding end-of-life planning</t>
  </si>
  <si>
    <t>Reduction in Readmissions project (QAPI Priority)</t>
  </si>
  <si>
    <t>Reduce unnecessary utilization of inpatient resources and decrease expenses by leveraging evidence-based tools, post-acute care alliances and Blueprint case managers</t>
  </si>
  <si>
    <t>Reduction in Emergency Department Overuse (QAPI Priority)</t>
  </si>
  <si>
    <t>Decrease unnecessary utilization of the Emergency Department through collaboration with community organizations</t>
  </si>
  <si>
    <t>Improve access to imaging and procedural services (QAPI Priority)</t>
  </si>
  <si>
    <t>Reduce time from imaging order to scheduled procedure to improve access, repatriation care, and reduce operating expenses through streamlined process</t>
  </si>
  <si>
    <t>Reduce incidence of hospital acquired conditions (QAPI Priority)</t>
  </si>
  <si>
    <t>Reducing unnecessary healthcare spending attributed to hospital acquired conditions ((C. difficile, falls with injury and healthcare acquired pressure injuries, CAUTI, CLABSI)</t>
  </si>
  <si>
    <t>ADDRESS OPERATIONAL CHALLENGES</t>
  </si>
  <si>
    <t>RN Pipeline Program</t>
  </si>
  <si>
    <t>Reduce staff recruitment and agency expense by providing support during clinical education to 'grow our own'</t>
  </si>
  <si>
    <t>Yes, create pipeline of RN staff</t>
  </si>
  <si>
    <t>Premier</t>
  </si>
  <si>
    <t>Implement Premier staff-to-patient-volume system to manage resources and reduce operating expenses</t>
  </si>
  <si>
    <t>Yes, manage and reduce staff</t>
  </si>
  <si>
    <t>Integration with DH to reduce operating expenses</t>
  </si>
  <si>
    <t>Integrate SVMC's Marketing &amp; Communication department with DH's, including web site hosting, to reduce operating expenses</t>
  </si>
  <si>
    <t>Integrate SVMC's Human Resources Department with DH's, including employee experience management, to reduce operating expenses</t>
  </si>
  <si>
    <t>Integrate SVMC's and DH's Contracting system and contracts to achieve economies of scale and reduce operating expenses</t>
  </si>
  <si>
    <t>Shared Purchasing</t>
  </si>
  <si>
    <t>Reduce Locum provider Expense</t>
  </si>
  <si>
    <t>Reduce Locum Provider expenses by enhanced recruitment and change in care processes</t>
  </si>
  <si>
    <t>Yes, increase employed providers and reduce locums</t>
  </si>
  <si>
    <t>Central Scheduling</t>
  </si>
  <si>
    <t>Improve central scheduling processes to increase access, decrease wait times, reduce rework, and reduce operating expenses</t>
  </si>
  <si>
    <t>Pharmacy price cap operational adjustment</t>
  </si>
  <si>
    <t>Reduced operating expenses to remain sustainable in response to the H.266 price cap on outpatient prescription medications</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</si>
  <si>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</si>
  <si>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</si>
  <si>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</si>
  <si>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</si>
  <si>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</si>
  <si>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</si>
  <si>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</si>
  <si>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</si>
  <si>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</si>
  <si>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r>
      <rPr>
        <u/>
        <sz val="11"/>
        <color rgb="FF215C98"/>
        <rFont val="Aptos Narrow"/>
        <scheme val="minor"/>
      </rPr>
      <t>Example</t>
    </r>
    <r>
      <rPr>
        <sz val="11"/>
        <color rgb="FF215C98"/>
        <rFont val="Aptos Narrow"/>
        <scheme val="minor"/>
      </rPr>
      <t xml:space="preserve"> Risk 1</t>
    </r>
  </si>
  <si>
    <t>Work Force</t>
  </si>
  <si>
    <t>Acess to Care</t>
  </si>
  <si>
    <t>Critical staffing shortages(RNs,LPNs) may limit hospital's ability to implement redesigned patient flow processes, stand up a capacity management team or maintain target ED boarding and inpatient throughput measures.</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</si>
  <si>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</si>
  <si>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</si>
  <si>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</si>
  <si>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</si>
  <si>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</si>
  <si>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Risk 2</t>
  </si>
  <si>
    <t>Risk 3</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</si>
  <si>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</si>
  <si>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</si>
  <si>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</si>
  <si>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</si>
  <si>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</si>
  <si>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</si>
  <si>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</si>
  <si>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</si>
  <si>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</si>
  <si>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Comm 1</t>
  </si>
  <si>
    <t xml:space="preserve"> </t>
  </si>
  <si>
    <t>The communication tab tracks all regular project interactions to ensure consistent, transparent engagement with key stakeholders.</t>
  </si>
  <si>
    <t>Element</t>
  </si>
  <si>
    <t>Explanation</t>
  </si>
  <si>
    <t xml:space="preserve">Transformation Goal                        </t>
  </si>
  <si>
    <t xml:space="preserve">Does this goal focus on hospital or regional objectives </t>
  </si>
  <si>
    <t>Does this goal focus on one of the following themes:                                                                     - Clinical Service Redesign                                                                                                                                        - Transfers and Transport                                                                                                                    - Shared Purchasing                                                                                                                                      - Information Technology                                                                                                                                              - Workforce                                                                                                                                          - Other</t>
  </si>
  <si>
    <t>What is the dollar value of investment required?</t>
  </si>
  <si>
    <t>How was the investment dollar value determined? (Business case, Invoice costs, Staff costs, Vendor quote, Other)</t>
  </si>
  <si>
    <t>Start Date</t>
  </si>
  <si>
    <t xml:space="preserve">Please add additional notes, concerns or barriers if needed                                                                                                           </t>
  </si>
  <si>
    <t>Initiative</t>
  </si>
  <si>
    <t>Description and alignment with transformation</t>
  </si>
  <si>
    <t>Theme</t>
  </si>
  <si>
    <t>Install a DaVinci surgical robot to repatriate care to SVMC from higher cost sites beyond Vermont and save Vermonters' healthcare dollars</t>
  </si>
  <si>
    <t>Install a Cardiac CT Scanner to repatriate care to SVMC from higher cost sites beyond Vermont and save Vermonters' healthcare dollars</t>
  </si>
  <si>
    <t>FMRP</t>
  </si>
  <si>
    <t>Launch FMRP to increase access to primary care, repatriate care, and reduce unnecessary care</t>
  </si>
  <si>
    <t>Hire a pediatric provider with inpatient capability to support the adolescent mental health unit and repatriate care</t>
  </si>
  <si>
    <t>Reduction in inpatient mortality project</t>
  </si>
  <si>
    <t>Description relative to transformation dimensions TBD</t>
  </si>
  <si>
    <t>Reduction in Readmissions project</t>
  </si>
  <si>
    <t>Install DH's digital platforms, including the Epic electronic medical record, in alignment with the state's goal, facilitate repatriation of care, reduce unnecessary care, and reduce operating expenses</t>
  </si>
  <si>
    <t>Pharmacy price cap</t>
  </si>
  <si>
    <t>Budget Action Plan initiatives</t>
  </si>
  <si>
    <t>Several- To be explained</t>
  </si>
  <si>
    <t>Other integration with DH to reduce operating expenses</t>
  </si>
  <si>
    <t>Join Medicaid Global Budget</t>
  </si>
  <si>
    <t>Join Belong Health Medicare Shared Savings Program ACO</t>
  </si>
  <si>
    <t>EMS IFT Subsidy</t>
  </si>
  <si>
    <t>Relaunch EMS IFT subsidy to expedite movement of gridlocked patients to higher levels of care and depressurize the emergency department and reduce operating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</si>
</sst>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409]* #,##0.00_);_([$$-409]* \(#,##0.00\);_([$$-409]* &quot;-&quot;??_);_(@_)"/>
  </numFmts>
  <fonts count="31">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scheme val="minor"/>
    </font>
    <font>
      <b/>
      <sz val="11"/>
      <color theme="0"/>
      <name val="Aptos Narrow"/>
      <scheme val="minor"/>
    </font>
    <font>
      <sz val="11"/>
      <color theme="1"/>
      <name val="Aptos Narrow"/>
      <scheme val="minor"/>
    </font>
    <font>
      <sz val="11"/>
      <color rgb="FF000000"/>
      <name val="Aptos Narrow"/>
      <scheme val="minor"/>
    </font>
    <font>
      <b/>
      <sz val="11"/>
      <color theme="1"/>
      <name val="Aptos Narrow"/>
      <scheme val="minor"/>
    </font>
    <font>
      <b/>
      <sz val="11"/>
      <color rgb="FF000000"/>
      <name val="Aptos Narrow"/>
      <scheme val="minor"/>
    </font>
    <font>
      <b/>
      <sz val="11"/>
      <name val="Aptos Narrow"/>
      <scheme val="minor"/>
    </font>
    <font>
      <sz val="11"/>
      <color theme="3" tint="0.249977111117893"/>
      <name val="Aptos Narrow"/>
      <scheme val="minor"/>
    </font>
    <font>
      <u/>
      <sz val="11"/>
      <color theme="3" tint="0.249977111117893"/>
      <name val="Aptos Narrow"/>
      <scheme val="minor"/>
    </font>
    <font>
      <b/>
      <sz val="11"/>
      <color theme="1"/>
      <name val="Aptos Narrow"/>
      <family val="2"/>
      <scheme val="minor"/>
    </font>
    <font>
      <sz val="11"/>
      <color theme="3" tint="0.249977111117893"/>
      <name val="Aptos Narrow"/>
      <family val="2"/>
      <scheme val="minor"/>
    </font>
    <font>
      <b/>
      <sz val="11"/>
      <name val="Aptos"/>
      <charset val="1"/>
    </font>
    <font>
      <sz val="11"/>
      <name val="Aptos"/>
      <charset val="1"/>
    </font>
    <font>
      <sz val="11"/>
      <name val="Arial"/>
      <charset val="1"/>
    </font>
    <font>
      <sz val="11"/>
      <color rgb="FF000000"/>
      <name val="Aptos Narrow"/>
      <family val="2"/>
      <scheme val="minor"/>
    </font>
    <font>
      <b/>
      <sz val="12"/>
      <color theme="1"/>
      <name val="Aptos Narrow"/>
      <family val="2"/>
      <scheme val="minor"/>
    </font>
    <font>
      <sz val="11"/>
      <name val="Aptos"/>
      <family val="2"/>
    </font>
    <font>
      <b/>
      <sz val="11"/>
      <name val="Aptos"/>
      <family val="2"/>
    </font>
    <font>
      <u/>
      <sz val="11"/>
      <color rgb="FF215C98"/>
      <name val="Aptos Narrow"/>
      <scheme val="minor"/>
    </font>
    <font>
      <sz val="11"/>
      <color rgb="FF215C98"/>
      <name val="Aptos Narrow"/>
      <scheme val="minor"/>
    </font>
    <font>
      <sz val="11"/>
      <color rgb="FFFF0000"/>
      <name val="Aptos Narrow"/>
      <family val="2"/>
      <scheme val="minor"/>
    </font>
    <font>
      <sz val="11"/>
      <color theme="9" tint="-0.249977111117893"/>
      <name val="Aptos Narrow"/>
      <family val="2"/>
      <scheme val="minor"/>
    </font>
    <font>
      <sz val="11"/>
      <name val="Aptos Narrow"/>
      <scheme val="minor"/>
    </font>
    <font>
      <sz val="11"/>
      <name val="Aptos Narrow"/>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
      <patternFill patternType="solid">
        <fgColor theme="0"/>
        <bgColor indexed="64"/>
      </patternFill>
    </fill>
    <fill>
      <patternFill patternType="solid">
        <fgColor theme="3" tint="0.249977111117893"/>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s>
  <cellStyleXfs count="2">
    <xf numFmtId="0" fontId="0" fillId="0" borderId="0"/>
    <xf numFmtId="44" fontId="1" fillId="0" borderId="0" applyFont="0" applyFill="0" applyBorder="0" applyAlignment="0" applyProtection="0"/>
  </cellStyleXfs>
  <cellXfs count="201">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6"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1" xfId="0" applyFont="1" applyBorder="1" applyAlignment="1">
      <alignment horizontal="left" vertical="top" wrapText="1"/>
    </xf>
    <xf numFmtId="0" fontId="7" fillId="0" borderId="1" xfId="0" applyFont="1" applyBorder="1" applyAlignment="1" applyProtection="1">
      <alignment horizontal="left" vertical="top"/>
      <protection locked="0"/>
    </xf>
    <xf numFmtId="0" fontId="7" fillId="0" borderId="0" xfId="0" applyFont="1"/>
    <xf numFmtId="0" fontId="7" fillId="0" borderId="1" xfId="0" applyFont="1" applyBorder="1" applyAlignment="1">
      <alignment horizontal="left" vertical="top"/>
    </xf>
    <xf numFmtId="0" fontId="8" fillId="3" borderId="1" xfId="0" applyFont="1" applyFill="1" applyBorder="1" applyAlignment="1">
      <alignment horizontal="center" vertical="center" wrapText="1"/>
    </xf>
    <xf numFmtId="0" fontId="8" fillId="3" borderId="8" xfId="0" applyFont="1" applyFill="1" applyBorder="1" applyAlignment="1">
      <alignment horizontal="center" vertical="center" wrapText="1"/>
    </xf>
    <xf numFmtId="164" fontId="8" fillId="3" borderId="1" xfId="1" applyNumberFormat="1" applyFont="1" applyFill="1" applyBorder="1" applyAlignment="1">
      <alignment horizontal="center" vertical="center" wrapText="1"/>
    </xf>
    <xf numFmtId="164" fontId="8" fillId="3" borderId="8" xfId="1" applyNumberFormat="1"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0" borderId="0" xfId="0" applyFont="1"/>
    <xf numFmtId="0" fontId="9" fillId="0" borderId="0" xfId="0" applyFont="1" applyAlignment="1">
      <alignment horizontal="left" vertical="top"/>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164" fontId="11" fillId="2" borderId="1" xfId="1" applyNumberFormat="1" applyFont="1" applyFill="1" applyBorder="1" applyAlignment="1">
      <alignment horizontal="left" vertical="top" wrapText="1"/>
    </xf>
    <xf numFmtId="0" fontId="13" fillId="2" borderId="1" xfId="0" applyFont="1" applyFill="1" applyBorder="1" applyAlignment="1">
      <alignment horizontal="left" vertical="top" wrapText="1"/>
    </xf>
    <xf numFmtId="0" fontId="11" fillId="2" borderId="2" xfId="0" applyFont="1" applyFill="1" applyBorder="1" applyAlignment="1">
      <alignment horizontal="left" vertical="top" wrapText="1"/>
    </xf>
    <xf numFmtId="0" fontId="11" fillId="2" borderId="3" xfId="0" applyFont="1" applyFill="1" applyBorder="1" applyAlignment="1">
      <alignment horizontal="left" vertical="top" wrapText="1"/>
    </xf>
    <xf numFmtId="0" fontId="14" fillId="0" borderId="6" xfId="0" applyFont="1" applyBorder="1" applyAlignment="1">
      <alignment horizontal="left" vertical="top" wrapText="1"/>
    </xf>
    <xf numFmtId="0" fontId="14" fillId="0" borderId="1" xfId="0" applyFont="1" applyBorder="1" applyAlignment="1">
      <alignment horizontal="left" vertical="top" wrapText="1"/>
    </xf>
    <xf numFmtId="0" fontId="14" fillId="0" borderId="7" xfId="0" applyFont="1" applyBorder="1" applyAlignment="1" applyProtection="1">
      <alignment horizontal="left" vertical="top" wrapText="1"/>
      <protection locked="0"/>
    </xf>
    <xf numFmtId="165" fontId="14" fillId="0" borderId="9" xfId="0" applyNumberFormat="1" applyFont="1" applyBorder="1" applyAlignment="1">
      <alignment horizontal="left" vertical="top"/>
    </xf>
    <xf numFmtId="165" fontId="14" fillId="0" borderId="6" xfId="0" applyNumberFormat="1" applyFont="1" applyBorder="1" applyAlignment="1">
      <alignment horizontal="left" vertical="top"/>
    </xf>
    <xf numFmtId="4" fontId="14" fillId="0" borderId="1" xfId="0" applyNumberFormat="1" applyFont="1" applyBorder="1" applyAlignment="1" applyProtection="1">
      <alignment horizontal="left" vertical="top"/>
      <protection locked="0"/>
    </xf>
    <xf numFmtId="14" fontId="14" fillId="0" borderId="6" xfId="0" applyNumberFormat="1" applyFont="1" applyBorder="1" applyAlignment="1">
      <alignment horizontal="left" vertical="top"/>
    </xf>
    <xf numFmtId="0" fontId="14" fillId="0" borderId="6" xfId="0" applyFont="1" applyBorder="1" applyAlignment="1">
      <alignment horizontal="left" vertical="top"/>
    </xf>
    <xf numFmtId="0" fontId="14" fillId="0" borderId="0" xfId="0" applyFont="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0" fontId="10" fillId="0" borderId="6" xfId="0" applyFont="1" applyBorder="1" applyAlignment="1">
      <alignment horizontal="left" vertical="top"/>
    </xf>
    <xf numFmtId="165" fontId="10" fillId="0" borderId="9" xfId="0" applyNumberFormat="1" applyFont="1" applyBorder="1" applyAlignment="1">
      <alignment horizontal="left" vertical="top"/>
    </xf>
    <xf numFmtId="165" fontId="10" fillId="0" borderId="6" xfId="0" applyNumberFormat="1" applyFont="1" applyBorder="1" applyAlignment="1">
      <alignment horizontal="left" vertical="top"/>
    </xf>
    <xf numFmtId="4" fontId="10" fillId="0" borderId="1" xfId="0" applyNumberFormat="1" applyFont="1" applyBorder="1" applyAlignment="1" applyProtection="1">
      <alignment horizontal="left" vertical="top"/>
      <protection locked="0"/>
    </xf>
    <xf numFmtId="14" fontId="10" fillId="0" borderId="6" xfId="0" applyNumberFormat="1" applyFont="1" applyBorder="1" applyAlignment="1">
      <alignment horizontal="left" vertical="top"/>
    </xf>
    <xf numFmtId="0" fontId="10" fillId="0" borderId="0" xfId="0" applyFont="1" applyAlignment="1">
      <alignment horizontal="left" vertical="top"/>
    </xf>
    <xf numFmtId="0" fontId="5" fillId="0" borderId="6"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6" fillId="0" borderId="7" xfId="0" applyFont="1" applyBorder="1" applyAlignment="1">
      <alignment vertical="top"/>
    </xf>
    <xf numFmtId="0" fontId="5" fillId="0" borderId="9" xfId="0" applyFont="1" applyBorder="1" applyAlignment="1">
      <alignment vertical="top"/>
    </xf>
    <xf numFmtId="0" fontId="5" fillId="0" borderId="0" xfId="0" applyFont="1"/>
    <xf numFmtId="0" fontId="21" fillId="0" borderId="1" xfId="0" applyFont="1" applyBorder="1" applyAlignment="1" applyProtection="1">
      <alignment horizontal="left" vertical="top" wrapText="1"/>
      <protection locked="0"/>
    </xf>
    <xf numFmtId="0" fontId="22" fillId="0" borderId="0" xfId="0" applyFont="1"/>
    <xf numFmtId="0" fontId="19" fillId="0" borderId="12" xfId="0" applyFont="1" applyBorder="1" applyAlignment="1">
      <alignment horizontal="center" vertical="center" wrapText="1" readingOrder="1"/>
    </xf>
    <xf numFmtId="0" fontId="19" fillId="0" borderId="13" xfId="0" applyFont="1" applyBorder="1" applyAlignment="1">
      <alignment vertical="center" wrapText="1" readingOrder="1"/>
    </xf>
    <xf numFmtId="0" fontId="19" fillId="0" borderId="14" xfId="0" applyFont="1" applyBorder="1" applyAlignment="1">
      <alignment horizontal="center" vertical="center" wrapText="1" readingOrder="1"/>
    </xf>
    <xf numFmtId="0" fontId="19" fillId="0" borderId="15" xfId="0" applyFont="1" applyBorder="1" applyAlignment="1">
      <alignment vertical="center" wrapText="1" readingOrder="1"/>
    </xf>
    <xf numFmtId="0" fontId="23" fillId="0" borderId="13" xfId="0" applyFont="1" applyBorder="1" applyAlignment="1">
      <alignment vertical="center" wrapText="1" readingOrder="1"/>
    </xf>
    <xf numFmtId="0" fontId="5" fillId="0" borderId="1" xfId="0" applyFont="1" applyBorder="1" applyAlignment="1">
      <alignment horizontal="left" vertical="top" wrapText="1"/>
    </xf>
    <xf numFmtId="0" fontId="0" fillId="0" borderId="0" xfId="0" applyFill="1"/>
    <xf numFmtId="0" fontId="26" fillId="0" borderId="6" xfId="0" applyFont="1" applyBorder="1" applyAlignment="1">
      <alignment horizontal="left" vertical="top" wrapText="1"/>
    </xf>
    <xf numFmtId="0" fontId="9" fillId="0" borderId="0" xfId="0" applyFont="1" applyAlignment="1">
      <alignment vertical="center" wrapText="1"/>
    </xf>
    <xf numFmtId="0" fontId="7" fillId="0" borderId="1" xfId="0" applyFont="1" applyBorder="1" applyAlignment="1" applyProtection="1">
      <alignment horizontal="left" vertical="top" wrapText="1"/>
      <protection locked="0"/>
    </xf>
    <xf numFmtId="0" fontId="0" fillId="0" borderId="0" xfId="0" applyAlignment="1">
      <alignment vertical="center" wrapText="1"/>
    </xf>
    <xf numFmtId="0" fontId="0" fillId="5" borderId="0" xfId="0" applyFill="1" applyAlignment="1">
      <alignment vertical="center" wrapText="1"/>
    </xf>
    <xf numFmtId="0" fontId="8" fillId="6" borderId="0" xfId="0" applyFont="1" applyFill="1" applyAlignment="1">
      <alignment horizontal="center"/>
    </xf>
    <xf numFmtId="0" fontId="0" fillId="7" borderId="0" xfId="0" applyFill="1" applyAlignment="1">
      <alignment vertical="center" wrapText="1"/>
    </xf>
    <xf numFmtId="0" fontId="27" fillId="5" borderId="0" xfId="0" applyFont="1" applyFill="1" applyAlignment="1">
      <alignment vertical="center" wrapText="1"/>
    </xf>
    <xf numFmtId="0" fontId="28" fillId="7" borderId="0" xfId="0" applyFont="1" applyFill="1" applyAlignment="1">
      <alignment vertical="center" wrapText="1"/>
    </xf>
    <xf numFmtId="0" fontId="10" fillId="0" borderId="1" xfId="0" applyFont="1" applyFill="1" applyBorder="1" applyAlignment="1">
      <alignment horizontal="left" vertical="top" wrapText="1"/>
    </xf>
    <xf numFmtId="0" fontId="8" fillId="6" borderId="0" xfId="0" applyFont="1" applyFill="1" applyAlignment="1">
      <alignment horizontal="center" vertical="center" wrapText="1"/>
    </xf>
    <xf numFmtId="0" fontId="29" fillId="0" borderId="6" xfId="0" applyFont="1" applyBorder="1" applyAlignment="1">
      <alignment horizontal="left" vertical="top" wrapText="1"/>
    </xf>
    <xf numFmtId="0" fontId="29" fillId="0" borderId="1" xfId="0" applyFont="1" applyBorder="1" applyAlignment="1">
      <alignment horizontal="left" vertical="top" wrapText="1"/>
    </xf>
    <xf numFmtId="0" fontId="29" fillId="0" borderId="1" xfId="0" applyFont="1" applyBorder="1" applyAlignment="1" applyProtection="1">
      <alignment horizontal="left" vertical="top" wrapText="1"/>
      <protection locked="0"/>
    </xf>
    <xf numFmtId="165" fontId="29" fillId="0" borderId="9" xfId="0" applyNumberFormat="1" applyFont="1" applyBorder="1" applyAlignment="1">
      <alignment horizontal="left" vertical="top"/>
    </xf>
    <xf numFmtId="4" fontId="29" fillId="0" borderId="1" xfId="0" applyNumberFormat="1" applyFont="1" applyBorder="1" applyAlignment="1" applyProtection="1">
      <alignment horizontal="left" vertical="top"/>
      <protection locked="0"/>
    </xf>
    <xf numFmtId="165" fontId="29" fillId="0" borderId="6" xfId="0" applyNumberFormat="1" applyFont="1" applyBorder="1" applyAlignment="1">
      <alignment horizontal="left" vertical="top"/>
    </xf>
    <xf numFmtId="14" fontId="29" fillId="0" borderId="6" xfId="0" applyNumberFormat="1" applyFont="1" applyBorder="1" applyAlignment="1">
      <alignment horizontal="left" vertical="top"/>
    </xf>
    <xf numFmtId="0" fontId="29" fillId="0" borderId="6" xfId="0" applyFont="1" applyBorder="1" applyAlignment="1">
      <alignment horizontal="left" vertical="top"/>
    </xf>
    <xf numFmtId="0" fontId="29" fillId="0" borderId="0" xfId="0" applyFont="1" applyAlignment="1">
      <alignment horizontal="left" vertical="top"/>
    </xf>
    <xf numFmtId="0" fontId="14" fillId="8" borderId="1" xfId="0" applyFont="1" applyFill="1" applyBorder="1" applyAlignment="1">
      <alignment horizontal="left" vertical="top" wrapText="1"/>
    </xf>
    <xf numFmtId="0" fontId="21" fillId="8" borderId="1" xfId="0" applyFont="1" applyFill="1" applyBorder="1" applyAlignment="1" applyProtection="1">
      <alignment horizontal="left" vertical="top" wrapText="1"/>
      <protection locked="0"/>
    </xf>
    <xf numFmtId="0" fontId="14" fillId="8" borderId="6" xfId="0" applyFont="1" applyFill="1" applyBorder="1" applyAlignment="1">
      <alignment horizontal="left" vertical="top" wrapText="1"/>
    </xf>
    <xf numFmtId="165" fontId="14" fillId="8" borderId="9" xfId="0" applyNumberFormat="1" applyFont="1" applyFill="1" applyBorder="1" applyAlignment="1">
      <alignment horizontal="left" vertical="top"/>
    </xf>
    <xf numFmtId="4" fontId="14" fillId="8" borderId="1" xfId="0" applyNumberFormat="1" applyFont="1" applyFill="1" applyBorder="1" applyAlignment="1" applyProtection="1">
      <alignment horizontal="left" vertical="top"/>
      <protection locked="0"/>
    </xf>
    <xf numFmtId="165" fontId="14" fillId="8" borderId="6" xfId="0" applyNumberFormat="1" applyFont="1" applyFill="1" applyBorder="1" applyAlignment="1">
      <alignment horizontal="left" vertical="top"/>
    </xf>
    <xf numFmtId="14" fontId="14" fillId="8" borderId="6" xfId="0" applyNumberFormat="1" applyFont="1" applyFill="1" applyBorder="1" applyAlignment="1">
      <alignment horizontal="left" vertical="top"/>
    </xf>
    <xf numFmtId="0" fontId="14" fillId="8" borderId="6" xfId="0" applyFont="1" applyFill="1" applyBorder="1" applyAlignment="1">
      <alignment horizontal="left" vertical="top"/>
    </xf>
    <xf numFmtId="0" fontId="14" fillId="8" borderId="0" xfId="0" applyFont="1" applyFill="1" applyAlignment="1">
      <alignment horizontal="left" vertical="top"/>
    </xf>
    <xf numFmtId="0" fontId="29" fillId="8" borderId="6"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8" borderId="1" xfId="0" applyFont="1" applyFill="1" applyBorder="1" applyAlignment="1" applyProtection="1">
      <alignment horizontal="left" vertical="top" wrapText="1"/>
      <protection locked="0"/>
    </xf>
    <xf numFmtId="165" fontId="29" fillId="8" borderId="9" xfId="0" applyNumberFormat="1" applyFont="1" applyFill="1" applyBorder="1" applyAlignment="1">
      <alignment horizontal="left" vertical="top"/>
    </xf>
    <xf numFmtId="4" fontId="29" fillId="8" borderId="1" xfId="0" applyNumberFormat="1" applyFont="1" applyFill="1" applyBorder="1" applyAlignment="1" applyProtection="1">
      <alignment horizontal="left" vertical="top"/>
      <protection locked="0"/>
    </xf>
    <xf numFmtId="165" fontId="29" fillId="8" borderId="6" xfId="0" applyNumberFormat="1" applyFont="1" applyFill="1" applyBorder="1" applyAlignment="1">
      <alignment horizontal="left" vertical="top"/>
    </xf>
    <xf numFmtId="14" fontId="29" fillId="8" borderId="6" xfId="0" applyNumberFormat="1" applyFont="1" applyFill="1" applyBorder="1" applyAlignment="1">
      <alignment horizontal="left" vertical="top"/>
    </xf>
    <xf numFmtId="0" fontId="29" fillId="8" borderId="6" xfId="0" applyFont="1" applyFill="1" applyBorder="1" applyAlignment="1">
      <alignment horizontal="left" vertical="top"/>
    </xf>
    <xf numFmtId="0" fontId="29" fillId="8" borderId="0" xfId="0" applyFont="1" applyFill="1" applyAlignment="1">
      <alignment horizontal="left" vertical="top"/>
    </xf>
    <xf numFmtId="0" fontId="29" fillId="5" borderId="6" xfId="0" applyFont="1" applyFill="1" applyBorder="1" applyAlignment="1">
      <alignment horizontal="left" vertical="top" wrapText="1"/>
    </xf>
    <xf numFmtId="0" fontId="29" fillId="5" borderId="1" xfId="0" applyFont="1" applyFill="1" applyBorder="1" applyAlignment="1">
      <alignment horizontal="left" vertical="top" wrapText="1"/>
    </xf>
    <xf numFmtId="0" fontId="29" fillId="5" borderId="1" xfId="0" applyFont="1" applyFill="1" applyBorder="1" applyAlignment="1" applyProtection="1">
      <alignment horizontal="left" vertical="top" wrapText="1"/>
      <protection locked="0"/>
    </xf>
    <xf numFmtId="165" fontId="29" fillId="5" borderId="9" xfId="0" applyNumberFormat="1" applyFont="1" applyFill="1" applyBorder="1" applyAlignment="1">
      <alignment horizontal="left" vertical="top"/>
    </xf>
    <xf numFmtId="4" fontId="29" fillId="5" borderId="1" xfId="0" applyNumberFormat="1" applyFont="1" applyFill="1" applyBorder="1" applyAlignment="1" applyProtection="1">
      <alignment horizontal="left" vertical="top"/>
      <protection locked="0"/>
    </xf>
    <xf numFmtId="165" fontId="29" fillId="5" borderId="6" xfId="0" applyNumberFormat="1" applyFont="1" applyFill="1" applyBorder="1" applyAlignment="1">
      <alignment horizontal="left" vertical="top"/>
    </xf>
    <xf numFmtId="14" fontId="29" fillId="5" borderId="6" xfId="0" applyNumberFormat="1" applyFont="1" applyFill="1" applyBorder="1" applyAlignment="1">
      <alignment horizontal="left" vertical="top"/>
    </xf>
    <xf numFmtId="0" fontId="29" fillId="5" borderId="6" xfId="0" applyFont="1" applyFill="1" applyBorder="1" applyAlignment="1">
      <alignment horizontal="left" vertical="top"/>
    </xf>
    <xf numFmtId="0" fontId="29" fillId="5" borderId="0" xfId="0" applyFont="1" applyFill="1" applyAlignment="1">
      <alignment horizontal="left" vertical="top"/>
    </xf>
    <xf numFmtId="0" fontId="16" fillId="2" borderId="16" xfId="0" applyFont="1" applyFill="1" applyBorder="1" applyAlignment="1">
      <alignment horizontal="left" vertical="top" wrapText="1"/>
    </xf>
    <xf numFmtId="0" fontId="8" fillId="3" borderId="16" xfId="0" applyFont="1" applyFill="1" applyBorder="1" applyAlignment="1">
      <alignment horizontal="center" vertical="center" wrapText="1"/>
    </xf>
    <xf numFmtId="0" fontId="14" fillId="0" borderId="17" xfId="0" applyFont="1" applyBorder="1" applyAlignment="1" applyProtection="1">
      <alignment horizontal="left" vertical="top" wrapText="1"/>
      <protection locked="0"/>
    </xf>
    <xf numFmtId="0" fontId="14" fillId="8" borderId="17" xfId="0" applyFont="1" applyFill="1" applyBorder="1" applyAlignment="1" applyProtection="1">
      <alignment horizontal="left" vertical="top" wrapText="1"/>
      <protection locked="0"/>
    </xf>
    <xf numFmtId="0" fontId="29" fillId="0" borderId="17" xfId="0" applyFont="1" applyBorder="1" applyAlignment="1" applyProtection="1">
      <alignment horizontal="left" vertical="top" wrapText="1"/>
      <protection locked="0"/>
    </xf>
    <xf numFmtId="0" fontId="29" fillId="8" borderId="17" xfId="0" applyFont="1" applyFill="1" applyBorder="1" applyAlignment="1" applyProtection="1">
      <alignment horizontal="left" vertical="top" wrapText="1"/>
      <protection locked="0"/>
    </xf>
    <xf numFmtId="0" fontId="29" fillId="5" borderId="17" xfId="0" applyFont="1" applyFill="1" applyBorder="1" applyAlignment="1" applyProtection="1">
      <alignment horizontal="left" vertical="top" wrapText="1"/>
      <protection locked="0"/>
    </xf>
    <xf numFmtId="0" fontId="10" fillId="0" borderId="17" xfId="0" applyFont="1" applyBorder="1" applyAlignment="1" applyProtection="1">
      <alignment horizontal="left" vertical="top" wrapText="1"/>
      <protection locked="0"/>
    </xf>
    <xf numFmtId="0" fontId="14" fillId="0" borderId="1" xfId="0" applyFont="1" applyBorder="1" applyAlignment="1">
      <alignment horizontal="left" vertical="center" wrapText="1"/>
    </xf>
    <xf numFmtId="0" fontId="17" fillId="0" borderId="1" xfId="0" applyFont="1" applyBorder="1" applyAlignment="1">
      <alignment horizontal="left" vertical="top" wrapText="1"/>
    </xf>
    <xf numFmtId="0" fontId="29" fillId="8" borderId="1" xfId="0" applyFont="1" applyFill="1" applyBorder="1" applyAlignment="1">
      <alignment horizontal="center" vertical="center" wrapText="1"/>
    </xf>
    <xf numFmtId="0" fontId="30" fillId="8" borderId="1" xfId="0" applyFont="1" applyFill="1" applyBorder="1" applyAlignment="1">
      <alignment horizontal="left" vertical="top" wrapText="1"/>
    </xf>
    <xf numFmtId="0" fontId="29" fillId="0" borderId="1" xfId="0" applyFont="1" applyBorder="1" applyAlignment="1">
      <alignment horizontal="left" vertical="center" wrapText="1"/>
    </xf>
    <xf numFmtId="0" fontId="29" fillId="8"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xf numFmtId="0" fontId="0" fillId="0" borderId="1" xfId="0" applyFont="1" applyBorder="1" applyAlignment="1">
      <alignment vertical="center" wrapText="1"/>
    </xf>
    <xf numFmtId="0" fontId="10" fillId="0" borderId="1" xfId="0" quotePrefix="1" applyFont="1" applyBorder="1" applyAlignment="1">
      <alignment horizontal="left" vertical="center" wrapText="1"/>
    </xf>
    <xf numFmtId="0" fontId="9" fillId="0" borderId="8" xfId="0" applyFont="1" applyBorder="1" applyAlignment="1">
      <alignment vertical="center" wrapText="1"/>
    </xf>
    <xf numFmtId="0" fontId="10" fillId="0" borderId="8" xfId="0" applyFont="1" applyFill="1" applyBorder="1" applyAlignment="1">
      <alignment horizontal="left" vertical="top" wrapText="1"/>
    </xf>
    <xf numFmtId="0" fontId="10" fillId="0" borderId="8" xfId="0" applyFont="1" applyBorder="1" applyAlignment="1" applyProtection="1">
      <alignment horizontal="left" vertical="top" wrapText="1"/>
      <protection locked="0"/>
    </xf>
    <xf numFmtId="0" fontId="10" fillId="0" borderId="18" xfId="0" applyFont="1" applyBorder="1" applyAlignment="1" applyProtection="1">
      <alignment horizontal="left" vertical="top" wrapText="1"/>
      <protection locked="0"/>
    </xf>
    <xf numFmtId="0" fontId="10" fillId="0" borderId="19" xfId="0" applyFont="1" applyBorder="1" applyAlignment="1">
      <alignment horizontal="left" vertical="top"/>
    </xf>
    <xf numFmtId="165" fontId="10" fillId="0" borderId="10" xfId="0" applyNumberFormat="1" applyFont="1" applyBorder="1" applyAlignment="1">
      <alignment horizontal="left" vertical="top"/>
    </xf>
    <xf numFmtId="4" fontId="10" fillId="0" borderId="8" xfId="0" applyNumberFormat="1" applyFont="1" applyBorder="1" applyAlignment="1" applyProtection="1">
      <alignment horizontal="left" vertical="top"/>
      <protection locked="0"/>
    </xf>
    <xf numFmtId="165" fontId="10" fillId="0" borderId="19" xfId="0" applyNumberFormat="1" applyFont="1" applyBorder="1" applyAlignment="1">
      <alignment horizontal="left" vertical="top"/>
    </xf>
    <xf numFmtId="14" fontId="10" fillId="0" borderId="19" xfId="0" applyNumberFormat="1" applyFont="1" applyBorder="1" applyAlignment="1">
      <alignment horizontal="left" vertical="top"/>
    </xf>
    <xf numFmtId="0" fontId="14" fillId="0" borderId="19" xfId="0" applyFont="1" applyBorder="1" applyAlignment="1">
      <alignment horizontal="left" vertical="top"/>
    </xf>
    <xf numFmtId="4" fontId="14" fillId="0" borderId="8" xfId="0" applyNumberFormat="1" applyFont="1" applyBorder="1" applyAlignment="1" applyProtection="1">
      <alignment horizontal="left" vertical="top"/>
      <protection locked="0"/>
    </xf>
    <xf numFmtId="165" fontId="29" fillId="8" borderId="1" xfId="0" applyNumberFormat="1" applyFont="1" applyFill="1" applyBorder="1" applyAlignment="1">
      <alignment horizontal="left" vertical="top"/>
    </xf>
    <xf numFmtId="14" fontId="29" fillId="8" borderId="1" xfId="0" applyNumberFormat="1" applyFont="1" applyFill="1" applyBorder="1" applyAlignment="1">
      <alignment horizontal="left" vertical="top"/>
    </xf>
    <xf numFmtId="0" fontId="29" fillId="8" borderId="1" xfId="0" applyFont="1" applyFill="1" applyBorder="1" applyAlignment="1">
      <alignment horizontal="left" vertical="top"/>
    </xf>
    <xf numFmtId="0" fontId="9" fillId="0" borderId="1" xfId="0" applyFont="1" applyBorder="1" applyAlignment="1">
      <alignment vertical="top"/>
    </xf>
    <xf numFmtId="0" fontId="9" fillId="0" borderId="1" xfId="0" applyFont="1" applyBorder="1" applyAlignment="1">
      <alignment vertical="top" wrapText="1"/>
    </xf>
    <xf numFmtId="0" fontId="0" fillId="8" borderId="1" xfId="0" applyFont="1" applyFill="1" applyBorder="1" applyAlignment="1">
      <alignment vertical="center" wrapText="1"/>
    </xf>
    <xf numFmtId="0" fontId="10" fillId="8" borderId="1" xfId="0" applyFont="1" applyFill="1" applyBorder="1" applyAlignment="1">
      <alignment horizontal="left" vertical="top" wrapText="1"/>
    </xf>
    <xf numFmtId="0" fontId="10" fillId="8" borderId="1" xfId="0" applyFont="1" applyFill="1" applyBorder="1" applyAlignment="1" applyProtection="1">
      <alignment horizontal="left" vertical="top" wrapText="1"/>
      <protection locked="0"/>
    </xf>
    <xf numFmtId="0" fontId="9" fillId="8" borderId="1" xfId="0" applyFont="1" applyFill="1" applyBorder="1"/>
    <xf numFmtId="0" fontId="10" fillId="0" borderId="1" xfId="0" applyFont="1" applyBorder="1" applyAlignment="1">
      <alignment horizontal="left" vertical="top"/>
    </xf>
    <xf numFmtId="165" fontId="10" fillId="0" borderId="1" xfId="0" applyNumberFormat="1" applyFont="1" applyBorder="1" applyAlignment="1">
      <alignment horizontal="left" vertical="top"/>
    </xf>
    <xf numFmtId="14" fontId="10" fillId="0" borderId="1" xfId="0" applyNumberFormat="1" applyFont="1" applyBorder="1" applyAlignment="1">
      <alignment horizontal="left" vertical="top"/>
    </xf>
    <xf numFmtId="0" fontId="14" fillId="0" borderId="1" xfId="0" applyFont="1" applyBorder="1" applyAlignment="1">
      <alignment horizontal="left" vertical="top"/>
    </xf>
    <xf numFmtId="165" fontId="29" fillId="5" borderId="9" xfId="0" applyNumberFormat="1" applyFont="1" applyFill="1" applyBorder="1" applyAlignment="1">
      <alignment horizontal="left" vertical="top" wrapText="1"/>
    </xf>
    <xf numFmtId="165" fontId="29" fillId="5" borderId="6" xfId="0" applyNumberFormat="1" applyFont="1" applyFill="1" applyBorder="1" applyAlignment="1">
      <alignment horizontal="left" vertical="top" wrapText="1"/>
    </xf>
    <xf numFmtId="14" fontId="29" fillId="5" borderId="6" xfId="0" applyNumberFormat="1" applyFont="1" applyFill="1" applyBorder="1" applyAlignment="1">
      <alignment horizontal="left" vertical="top" wrapText="1"/>
    </xf>
    <xf numFmtId="4" fontId="29" fillId="5" borderId="1" xfId="0" applyNumberFormat="1" applyFont="1" applyFill="1" applyBorder="1" applyAlignment="1" applyProtection="1">
      <alignment horizontal="left" vertical="top" wrapText="1"/>
      <protection locked="0"/>
    </xf>
    <xf numFmtId="0" fontId="9" fillId="0" borderId="1" xfId="0" applyFont="1" applyBorder="1" applyAlignment="1">
      <alignment wrapText="1"/>
    </xf>
    <xf numFmtId="165" fontId="29" fillId="5" borderId="6" xfId="0" quotePrefix="1" applyNumberFormat="1" applyFont="1" applyFill="1" applyBorder="1" applyAlignment="1">
      <alignment horizontal="left" vertical="top"/>
    </xf>
    <xf numFmtId="165" fontId="10" fillId="0" borderId="1" xfId="0" applyNumberFormat="1" applyFont="1" applyBorder="1" applyAlignment="1">
      <alignment horizontal="left" vertical="top" wrapText="1"/>
    </xf>
    <xf numFmtId="0" fontId="18" fillId="4" borderId="10" xfId="0" applyFont="1" applyFill="1" applyBorder="1" applyAlignment="1">
      <alignment wrapText="1" readingOrder="1"/>
    </xf>
    <xf numFmtId="0" fontId="18" fillId="4" borderId="11" xfId="0" applyFont="1" applyFill="1" applyBorder="1" applyAlignment="1">
      <alignment wrapText="1" readingOrder="1"/>
    </xf>
    <xf numFmtId="0" fontId="24" fillId="4" borderId="12" xfId="0" applyFont="1" applyFill="1" applyBorder="1" applyAlignment="1">
      <alignment wrapText="1" readingOrder="1"/>
    </xf>
    <xf numFmtId="0" fontId="18" fillId="4" borderId="13" xfId="0" applyFont="1" applyFill="1" applyBorder="1" applyAlignment="1">
      <alignment wrapText="1" readingOrder="1"/>
    </xf>
    <xf numFmtId="0" fontId="3" fillId="0" borderId="0" xfId="0" applyFont="1" applyAlignment="1">
      <alignment horizontal="left" vertical="top" wrapText="1"/>
    </xf>
    <xf numFmtId="0" fontId="9" fillId="9" borderId="1" xfId="0" applyFont="1" applyFill="1" applyBorder="1" applyAlignment="1">
      <alignment vertical="center" wrapText="1"/>
    </xf>
    <xf numFmtId="0" fontId="10" fillId="9" borderId="1" xfId="0" applyFont="1" applyFill="1" applyBorder="1" applyAlignment="1">
      <alignment horizontal="left" vertical="top" wrapText="1"/>
    </xf>
    <xf numFmtId="0" fontId="10" fillId="9" borderId="1" xfId="0" applyFont="1" applyFill="1" applyBorder="1" applyAlignment="1" applyProtection="1">
      <alignment horizontal="left" vertical="top" wrapText="1"/>
      <protection locked="0"/>
    </xf>
    <xf numFmtId="0" fontId="10" fillId="9" borderId="1" xfId="0" applyFont="1" applyFill="1" applyBorder="1" applyAlignment="1">
      <alignment horizontal="left" vertical="top"/>
    </xf>
    <xf numFmtId="165" fontId="10" fillId="9" borderId="1" xfId="0" applyNumberFormat="1" applyFont="1" applyFill="1" applyBorder="1" applyAlignment="1">
      <alignment horizontal="left" vertical="top" wrapText="1"/>
    </xf>
    <xf numFmtId="4" fontId="10" fillId="9" borderId="1" xfId="0" applyNumberFormat="1" applyFont="1" applyFill="1" applyBorder="1" applyAlignment="1" applyProtection="1">
      <alignment horizontal="left" vertical="top"/>
      <protection locked="0"/>
    </xf>
    <xf numFmtId="165" fontId="10" fillId="9" borderId="1" xfId="0" applyNumberFormat="1" applyFont="1" applyFill="1" applyBorder="1" applyAlignment="1">
      <alignment horizontal="left" vertical="top"/>
    </xf>
    <xf numFmtId="14" fontId="10" fillId="9" borderId="1" xfId="0" applyNumberFormat="1" applyFont="1" applyFill="1" applyBorder="1" applyAlignment="1">
      <alignment horizontal="left" vertical="top"/>
    </xf>
    <xf numFmtId="0" fontId="14" fillId="9" borderId="1" xfId="0" applyFont="1" applyFill="1" applyBorder="1" applyAlignment="1">
      <alignment horizontal="left" vertical="top"/>
    </xf>
    <xf numFmtId="4" fontId="14" fillId="9" borderId="1" xfId="0" applyNumberFormat="1" applyFont="1" applyFill="1" applyBorder="1" applyAlignment="1" applyProtection="1">
      <alignment horizontal="left" vertical="top"/>
      <protection locked="0"/>
    </xf>
    <xf numFmtId="0" fontId="29" fillId="9" borderId="1" xfId="0" applyFont="1" applyFill="1" applyBorder="1" applyAlignment="1">
      <alignment horizontal="left" vertical="center" wrapText="1"/>
    </xf>
    <xf numFmtId="0" fontId="29" fillId="9" borderId="1" xfId="0" applyFont="1" applyFill="1" applyBorder="1" applyAlignment="1">
      <alignment horizontal="left" vertical="top" wrapText="1"/>
    </xf>
    <xf numFmtId="0" fontId="29" fillId="9" borderId="1" xfId="0" applyFont="1" applyFill="1" applyBorder="1" applyAlignment="1" applyProtection="1">
      <alignment horizontal="left" vertical="top" wrapText="1"/>
      <protection locked="0"/>
    </xf>
    <xf numFmtId="0" fontId="29" fillId="9" borderId="17" xfId="0" applyFont="1" applyFill="1" applyBorder="1" applyAlignment="1" applyProtection="1">
      <alignment horizontal="left" vertical="top" wrapText="1"/>
      <protection locked="0"/>
    </xf>
    <xf numFmtId="0" fontId="29" fillId="9" borderId="6" xfId="0" applyFont="1" applyFill="1" applyBorder="1" applyAlignment="1">
      <alignment horizontal="left" vertical="top" wrapText="1"/>
    </xf>
    <xf numFmtId="165" fontId="29" fillId="9" borderId="9" xfId="0" applyNumberFormat="1" applyFont="1" applyFill="1" applyBorder="1" applyAlignment="1">
      <alignment horizontal="left" vertical="top" wrapText="1"/>
    </xf>
    <xf numFmtId="4" fontId="29" fillId="9" borderId="1" xfId="0" applyNumberFormat="1" applyFont="1" applyFill="1" applyBorder="1" applyAlignment="1" applyProtection="1">
      <alignment horizontal="left" vertical="top"/>
      <protection locked="0"/>
    </xf>
    <xf numFmtId="165" fontId="29" fillId="9" borderId="6" xfId="0" applyNumberFormat="1" applyFont="1" applyFill="1" applyBorder="1" applyAlignment="1">
      <alignment horizontal="left" vertical="top" wrapText="1"/>
    </xf>
    <xf numFmtId="14" fontId="29" fillId="9" borderId="6" xfId="0" applyNumberFormat="1" applyFont="1" applyFill="1" applyBorder="1" applyAlignment="1">
      <alignment horizontal="left" vertical="top"/>
    </xf>
    <xf numFmtId="0" fontId="29" fillId="9" borderId="6" xfId="0" applyFont="1" applyFill="1" applyBorder="1" applyAlignment="1">
      <alignment horizontal="left" vertical="top"/>
    </xf>
    <xf numFmtId="4" fontId="29" fillId="9" borderId="1" xfId="0" applyNumberFormat="1" applyFont="1" applyFill="1" applyBorder="1" applyAlignment="1" applyProtection="1">
      <alignment horizontal="left" vertical="top" wrapText="1"/>
      <protection locked="0"/>
    </xf>
    <xf numFmtId="0" fontId="29" fillId="9" borderId="0" xfId="0" applyFont="1" applyFill="1" applyAlignment="1">
      <alignment horizontal="left" vertical="top"/>
    </xf>
    <xf numFmtId="0" fontId="9" fillId="9" borderId="1" xfId="0" applyFont="1" applyFill="1" applyBorder="1" applyAlignment="1">
      <alignment vertical="top"/>
    </xf>
    <xf numFmtId="0" fontId="9" fillId="9" borderId="1" xfId="0" applyFont="1" applyFill="1" applyBorder="1"/>
    <xf numFmtId="0" fontId="9" fillId="9" borderId="1" xfId="0" applyFont="1" applyFill="1" applyBorder="1" applyAlignment="1">
      <alignment wrapText="1"/>
    </xf>
    <xf numFmtId="0" fontId="10" fillId="9" borderId="1" xfId="0" quotePrefix="1" applyFont="1" applyFill="1" applyBorder="1" applyAlignment="1">
      <alignment horizontal="left" vertical="center" wrapText="1"/>
    </xf>
    <xf numFmtId="0" fontId="10" fillId="9" borderId="1" xfId="0" applyFont="1" applyFill="1" applyBorder="1" applyAlignment="1">
      <alignment horizontal="left" vertical="center" wrapText="1"/>
    </xf>
    <xf numFmtId="0" fontId="10" fillId="9" borderId="17" xfId="0" applyFont="1" applyFill="1" applyBorder="1" applyAlignment="1" applyProtection="1">
      <alignment horizontal="left" vertical="top" wrapText="1"/>
      <protection locked="0"/>
    </xf>
    <xf numFmtId="0" fontId="10" fillId="9" borderId="6" xfId="0" applyFont="1" applyFill="1" applyBorder="1" applyAlignment="1">
      <alignment horizontal="left" vertical="top"/>
    </xf>
    <xf numFmtId="165" fontId="10" fillId="9" borderId="9" xfId="0" applyNumberFormat="1" applyFont="1" applyFill="1" applyBorder="1" applyAlignment="1">
      <alignment horizontal="left" vertical="top"/>
    </xf>
    <xf numFmtId="165" fontId="10" fillId="9" borderId="6" xfId="0" applyNumberFormat="1" applyFont="1" applyFill="1" applyBorder="1" applyAlignment="1">
      <alignment horizontal="left" vertical="top"/>
    </xf>
    <xf numFmtId="14" fontId="10" fillId="9" borderId="6" xfId="0" applyNumberFormat="1" applyFont="1" applyFill="1" applyBorder="1" applyAlignment="1">
      <alignment horizontal="left" vertical="top"/>
    </xf>
    <xf numFmtId="0" fontId="14" fillId="9" borderId="6" xfId="0" applyFont="1" applyFill="1" applyBorder="1" applyAlignment="1">
      <alignment horizontal="left" vertical="top"/>
    </xf>
    <xf numFmtId="0" fontId="10" fillId="9" borderId="0" xfId="0" applyFont="1" applyFill="1" applyAlignment="1">
      <alignment horizontal="left" vertical="top"/>
    </xf>
    <xf numFmtId="0" fontId="9" fillId="9" borderId="1" xfId="0" applyFont="1" applyFill="1" applyBorder="1" applyAlignment="1">
      <alignment vertical="top" wrapText="1"/>
    </xf>
    <xf numFmtId="165" fontId="29" fillId="9" borderId="9" xfId="0" applyNumberFormat="1" applyFont="1" applyFill="1" applyBorder="1" applyAlignment="1">
      <alignment horizontal="left" vertical="top"/>
    </xf>
    <xf numFmtId="165" fontId="29" fillId="9" borderId="6" xfId="0" applyNumberFormat="1" applyFont="1" applyFill="1" applyBorder="1" applyAlignment="1">
      <alignment horizontal="lef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sheetPr>
    <pageSetUpPr fitToPage="1"/>
  </sheetPr>
  <dimension ref="A1:B35"/>
  <sheetViews>
    <sheetView workbookViewId="0">
      <selection activeCell="D7" sqref="D7"/>
    </sheetView>
  </sheetViews>
  <sheetFormatPr defaultRowHeight="14.25"/>
  <cols>
    <col min="1" max="1" width="5.5703125" customWidth="1"/>
    <col min="2" max="2" width="88.28515625" customWidth="1"/>
  </cols>
  <sheetData>
    <row r="1" spans="1:2" s="51" customFormat="1" ht="15.75">
      <c r="A1" s="53" t="s">
        <v>0</v>
      </c>
    </row>
    <row r="2" spans="1:2" s="51" customFormat="1" ht="15">
      <c r="A2" s="51" t="s">
        <v>1</v>
      </c>
    </row>
    <row r="3" spans="1:2" s="51" customFormat="1" ht="15">
      <c r="A3" s="51" t="s">
        <v>2</v>
      </c>
    </row>
    <row r="4" spans="1:2" s="51" customFormat="1" ht="15"/>
    <row r="5" spans="1:2" s="51" customFormat="1" ht="15.75">
      <c r="A5" s="53" t="s">
        <v>3</v>
      </c>
    </row>
    <row r="6" spans="1:2" s="51" customFormat="1" ht="15">
      <c r="A6" s="51" t="s">
        <v>4</v>
      </c>
    </row>
    <row r="7" spans="1:2" ht="15">
      <c r="A7" s="51" t="s">
        <v>5</v>
      </c>
    </row>
    <row r="8" spans="1:2" s="51" customFormat="1" ht="15">
      <c r="A8" s="51" t="s">
        <v>6</v>
      </c>
    </row>
    <row r="10" spans="1:2" ht="15">
      <c r="A10" s="159" t="s">
        <v>7</v>
      </c>
      <c r="B10" s="160"/>
    </row>
    <row r="11" spans="1:2" ht="28.5" customHeight="1">
      <c r="A11" s="54" t="s">
        <v>8</v>
      </c>
      <c r="B11" s="55" t="s">
        <v>9</v>
      </c>
    </row>
    <row r="12" spans="1:2" ht="39" customHeight="1">
      <c r="A12" s="54" t="s">
        <v>10</v>
      </c>
      <c r="B12" s="55" t="s">
        <v>11</v>
      </c>
    </row>
    <row r="13" spans="1:2" ht="26.25" customHeight="1">
      <c r="A13" s="54" t="s">
        <v>12</v>
      </c>
      <c r="B13" s="55" t="s">
        <v>13</v>
      </c>
    </row>
    <row r="14" spans="1:2" ht="15">
      <c r="A14" s="161" t="s">
        <v>14</v>
      </c>
      <c r="B14" s="162"/>
    </row>
    <row r="15" spans="1:2" ht="35.25" customHeight="1">
      <c r="A15" s="54" t="s">
        <v>8</v>
      </c>
      <c r="B15" s="55" t="s">
        <v>15</v>
      </c>
    </row>
    <row r="16" spans="1:2" ht="24.75" customHeight="1">
      <c r="A16" s="54" t="s">
        <v>10</v>
      </c>
      <c r="B16" s="58" t="s">
        <v>16</v>
      </c>
    </row>
    <row r="17" spans="1:2" ht="42.75">
      <c r="A17" s="54" t="s">
        <v>12</v>
      </c>
      <c r="B17" s="55" t="s">
        <v>17</v>
      </c>
    </row>
    <row r="18" spans="1:2" ht="37.5" customHeight="1">
      <c r="A18" s="54" t="s">
        <v>18</v>
      </c>
      <c r="B18" s="55" t="s">
        <v>19</v>
      </c>
    </row>
    <row r="19" spans="1:2" ht="44.45" customHeight="1">
      <c r="A19" s="56" t="s">
        <v>20</v>
      </c>
      <c r="B19" s="57" t="s">
        <v>21</v>
      </c>
    </row>
    <row r="21" spans="1:2" s="51" customFormat="1" ht="15.75">
      <c r="A21" s="53" t="s">
        <v>22</v>
      </c>
    </row>
    <row r="22" spans="1:2" ht="15">
      <c r="A22" s="51" t="s">
        <v>23</v>
      </c>
    </row>
    <row r="23" spans="1:2" ht="15">
      <c r="A23" s="51" t="s">
        <v>24</v>
      </c>
    </row>
    <row r="25" spans="1:2" s="51" customFormat="1" ht="15.75">
      <c r="A25" s="53" t="s">
        <v>25</v>
      </c>
    </row>
    <row r="26" spans="1:2" s="51" customFormat="1" ht="15">
      <c r="A26" s="51" t="s">
        <v>26</v>
      </c>
    </row>
    <row r="27" spans="1:2" ht="15">
      <c r="A27" s="51" t="s">
        <v>27</v>
      </c>
    </row>
    <row r="28" spans="1:2" ht="15">
      <c r="A28" s="51"/>
    </row>
    <row r="29" spans="1:2" ht="15.75">
      <c r="A29" s="53" t="s">
        <v>28</v>
      </c>
      <c r="B29" s="51"/>
    </row>
    <row r="30" spans="1:2" ht="15">
      <c r="A30" s="51" t="s">
        <v>29</v>
      </c>
      <c r="B30" s="51"/>
    </row>
    <row r="32" spans="1:2" ht="15.75">
      <c r="A32" s="53" t="s">
        <v>30</v>
      </c>
      <c r="B32" s="51"/>
    </row>
    <row r="33" spans="1:1" ht="15">
      <c r="A33" s="51" t="s">
        <v>31</v>
      </c>
    </row>
    <row r="35" spans="1:1">
      <c r="A35" s="60" t="s">
        <v>32</v>
      </c>
    </row>
  </sheetData>
  <mergeCells count="2">
    <mergeCell ref="A10:B10"/>
    <mergeCell ref="A14:B14"/>
  </mergeCells>
  <pageMargins left="0.7" right="0.7" top="0.75" bottom="0.75" header="0.3" footer="0.3"/>
  <pageSetup scale="58"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5"/>
  <sheetViews>
    <sheetView zoomScaleNormal="100" workbookViewId="0">
      <selection activeCell="D13" sqref="D13"/>
    </sheetView>
  </sheetViews>
  <sheetFormatPr defaultColWidth="9.140625" defaultRowHeight="37.35" customHeight="1"/>
  <cols>
    <col min="1" max="1" width="39.42578125" style="10" customWidth="1"/>
    <col min="2" max="2" width="41.85546875" style="10" customWidth="1"/>
    <col min="3" max="16384" width="9.140625" style="13"/>
  </cols>
  <sheetData>
    <row r="1" spans="1:2" ht="24.6" customHeight="1">
      <c r="A1" s="11" t="s">
        <v>33</v>
      </c>
      <c r="B1" s="12" t="s">
        <v>34</v>
      </c>
    </row>
    <row r="2" spans="1:2" ht="29.45" customHeight="1">
      <c r="A2" s="11" t="s">
        <v>35</v>
      </c>
      <c r="B2" s="12" t="s">
        <v>36</v>
      </c>
    </row>
    <row r="3" spans="1:2" ht="29.45" customHeight="1">
      <c r="A3" s="11" t="s">
        <v>37</v>
      </c>
      <c r="B3" s="12" t="s">
        <v>38</v>
      </c>
    </row>
    <row r="4" spans="1:2" ht="29.45" customHeight="1">
      <c r="A4" s="11" t="s">
        <v>39</v>
      </c>
      <c r="B4" s="12"/>
    </row>
    <row r="5" spans="1:2" ht="29.45" customHeight="1">
      <c r="A5" s="11" t="s">
        <v>40</v>
      </c>
      <c r="B5" s="12"/>
    </row>
    <row r="6" spans="1:2" ht="29.45" customHeight="1">
      <c r="A6" s="11" t="s">
        <v>41</v>
      </c>
      <c r="B6" s="12" t="s">
        <v>42</v>
      </c>
    </row>
    <row r="7" spans="1:2" ht="29.45" customHeight="1">
      <c r="A7" s="11" t="s">
        <v>43</v>
      </c>
      <c r="B7" s="12" t="s">
        <v>44</v>
      </c>
    </row>
    <row r="8" spans="1:2" ht="29.45" customHeight="1">
      <c r="A8" s="11" t="s">
        <v>45</v>
      </c>
      <c r="B8" s="12" t="s">
        <v>46</v>
      </c>
    </row>
    <row r="9" spans="1:2" ht="29.45" customHeight="1">
      <c r="A9" s="11" t="s">
        <v>47</v>
      </c>
      <c r="B9" s="12" t="s">
        <v>48</v>
      </c>
    </row>
    <row r="10" spans="1:2" ht="34.5" customHeight="1">
      <c r="A10" s="11" t="s">
        <v>49</v>
      </c>
      <c r="B10" s="63" t="s">
        <v>50</v>
      </c>
    </row>
    <row r="11" spans="1:2" ht="46.35" customHeight="1">
      <c r="A11" s="59" t="s">
        <v>51</v>
      </c>
      <c r="B11" s="12" t="s">
        <v>42</v>
      </c>
    </row>
    <row r="12" spans="1:2" ht="29.45" customHeight="1">
      <c r="A12" s="11" t="s">
        <v>52</v>
      </c>
      <c r="B12" s="12" t="s">
        <v>53</v>
      </c>
    </row>
    <row r="13" spans="1:2" ht="41.45" customHeight="1">
      <c r="A13" s="11" t="s">
        <v>54</v>
      </c>
      <c r="B13" s="12" t="s">
        <v>55</v>
      </c>
    </row>
    <row r="14" spans="1:2" ht="38.25" customHeight="1">
      <c r="A14" s="11" t="s">
        <v>56</v>
      </c>
      <c r="B14" s="63" t="s">
        <v>57</v>
      </c>
    </row>
    <row r="15" spans="1:2" ht="43.5" customHeight="1">
      <c r="A15" s="14" t="s">
        <v>58</v>
      </c>
      <c r="B15" s="63" t="s">
        <v>59</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sheetPr>
    <pageSetUpPr fitToPage="1"/>
  </sheetPr>
  <dimension ref="A1:Q47"/>
  <sheetViews>
    <sheetView zoomScaleNormal="100" workbookViewId="0">
      <pane xSplit="2" ySplit="2" topLeftCell="C5" activePane="bottomRight" state="frozen"/>
      <selection pane="bottomRight" activeCell="A6" sqref="A6:XFD6"/>
      <selection pane="bottomLeft" activeCell="A3" sqref="A3"/>
      <selection pane="topRight" activeCell="B1" sqref="B1"/>
    </sheetView>
  </sheetViews>
  <sheetFormatPr defaultColWidth="9.140625" defaultRowHeight="15" customHeight="1"/>
  <cols>
    <col min="1" max="1" width="18.85546875" style="62" customWidth="1"/>
    <col min="2" max="2" width="40" style="21" customWidth="1"/>
    <col min="3" max="3" width="17.42578125" style="21" customWidth="1"/>
    <col min="4" max="4" width="15.85546875" style="21" customWidth="1"/>
    <col min="5" max="5" width="59.140625" style="21" customWidth="1"/>
    <col min="6" max="6" width="29" style="21" customWidth="1"/>
    <col min="7" max="7" width="25.42578125" style="21" customWidth="1"/>
    <col min="8" max="8" width="17.5703125" style="21" customWidth="1"/>
    <col min="9" max="9" width="20" style="21" customWidth="1"/>
    <col min="10" max="10" width="17.5703125" style="21" customWidth="1"/>
    <col min="11" max="11" width="22" style="21" customWidth="1"/>
    <col min="12" max="12" width="21.42578125" style="21" customWidth="1"/>
    <col min="13" max="13" width="17.140625" style="21" customWidth="1"/>
    <col min="14" max="14" width="17.5703125" style="21" customWidth="1"/>
    <col min="15" max="15" width="17.42578125" style="21" customWidth="1"/>
    <col min="16" max="16" width="18.140625" style="21" customWidth="1"/>
    <col min="17" max="17" width="57.42578125" style="21" customWidth="1"/>
    <col min="18" max="16384" width="9.140625" style="21"/>
  </cols>
  <sheetData>
    <row r="1" spans="1:17" s="22" customFormat="1" ht="116.1" customHeight="1">
      <c r="A1" s="23" t="s">
        <v>60</v>
      </c>
      <c r="B1" s="23" t="s">
        <v>61</v>
      </c>
      <c r="C1" s="23" t="s">
        <v>62</v>
      </c>
      <c r="D1" s="23" t="s">
        <v>63</v>
      </c>
      <c r="E1" s="108" t="s">
        <v>64</v>
      </c>
      <c r="F1" s="24" t="s">
        <v>65</v>
      </c>
      <c r="G1" s="24" t="s">
        <v>66</v>
      </c>
      <c r="H1" s="25" t="s">
        <v>67</v>
      </c>
      <c r="I1" s="26" t="s">
        <v>68</v>
      </c>
      <c r="J1" s="25" t="s">
        <v>69</v>
      </c>
      <c r="K1" s="26" t="s">
        <v>70</v>
      </c>
      <c r="L1" s="26" t="s">
        <v>71</v>
      </c>
      <c r="M1" s="26" t="s">
        <v>72</v>
      </c>
      <c r="N1" s="26" t="s">
        <v>73</v>
      </c>
      <c r="O1" s="27" t="s">
        <v>74</v>
      </c>
      <c r="P1" s="27" t="s">
        <v>75</v>
      </c>
      <c r="Q1" s="28" t="s">
        <v>76</v>
      </c>
    </row>
    <row r="2" spans="1:17" ht="33" customHeight="1">
      <c r="A2" s="15" t="s">
        <v>77</v>
      </c>
      <c r="B2" s="15" t="s">
        <v>78</v>
      </c>
      <c r="C2" s="15" t="s">
        <v>79</v>
      </c>
      <c r="D2" s="15" t="s">
        <v>80</v>
      </c>
      <c r="E2" s="109" t="s">
        <v>81</v>
      </c>
      <c r="F2" s="16" t="s">
        <v>82</v>
      </c>
      <c r="G2" s="16" t="s">
        <v>83</v>
      </c>
      <c r="H2" s="17" t="s">
        <v>84</v>
      </c>
      <c r="I2" s="15" t="s">
        <v>85</v>
      </c>
      <c r="J2" s="18" t="s">
        <v>86</v>
      </c>
      <c r="K2" s="15" t="s">
        <v>87</v>
      </c>
      <c r="L2" s="15" t="s">
        <v>88</v>
      </c>
      <c r="M2" s="15" t="s">
        <v>89</v>
      </c>
      <c r="N2" s="15" t="s">
        <v>90</v>
      </c>
      <c r="O2" s="19" t="s">
        <v>91</v>
      </c>
      <c r="P2" s="19" t="s">
        <v>92</v>
      </c>
      <c r="Q2" s="20" t="s">
        <v>93</v>
      </c>
    </row>
    <row r="3" spans="1:17" s="37" customFormat="1" ht="105" customHeight="1">
      <c r="A3" s="116" t="s">
        <v>94</v>
      </c>
      <c r="B3" s="117" t="s">
        <v>95</v>
      </c>
      <c r="C3" s="30" t="s">
        <v>96</v>
      </c>
      <c r="D3" s="52" t="s">
        <v>97</v>
      </c>
      <c r="E3" s="110" t="s">
        <v>98</v>
      </c>
      <c r="F3" s="29" t="s">
        <v>99</v>
      </c>
      <c r="G3" s="29" t="s">
        <v>100</v>
      </c>
      <c r="H3" s="32">
        <v>1000000</v>
      </c>
      <c r="I3" s="34"/>
      <c r="J3" s="33"/>
      <c r="K3" s="29" t="s">
        <v>101</v>
      </c>
      <c r="L3" s="35">
        <v>46048</v>
      </c>
      <c r="M3" s="35">
        <v>46332</v>
      </c>
      <c r="N3" s="36" t="s">
        <v>102</v>
      </c>
      <c r="O3" s="36"/>
      <c r="P3" s="34"/>
      <c r="Q3" s="29" t="s">
        <v>103</v>
      </c>
    </row>
    <row r="4" spans="1:17" s="89" customFormat="1" ht="67.5" customHeight="1">
      <c r="A4" s="118" t="s">
        <v>104</v>
      </c>
      <c r="B4" s="119" t="s">
        <v>105</v>
      </c>
      <c r="C4" s="81"/>
      <c r="D4" s="82"/>
      <c r="E4" s="111"/>
      <c r="F4" s="83"/>
      <c r="G4" s="83"/>
      <c r="H4" s="84"/>
      <c r="I4" s="85"/>
      <c r="J4" s="86"/>
      <c r="K4" s="83"/>
      <c r="L4" s="87"/>
      <c r="M4" s="87"/>
      <c r="N4" s="88"/>
      <c r="O4" s="88"/>
      <c r="P4" s="85"/>
      <c r="Q4" s="83"/>
    </row>
    <row r="5" spans="1:17" s="80" customFormat="1" ht="107.25" customHeight="1">
      <c r="A5" s="120" t="s">
        <v>106</v>
      </c>
      <c r="B5" s="73" t="s">
        <v>107</v>
      </c>
      <c r="C5" s="73" t="s">
        <v>108</v>
      </c>
      <c r="D5" s="74" t="s">
        <v>109</v>
      </c>
      <c r="E5" s="112" t="s">
        <v>110</v>
      </c>
      <c r="F5" s="72"/>
      <c r="G5" s="72"/>
      <c r="H5" s="75"/>
      <c r="I5" s="76"/>
      <c r="J5" s="77"/>
      <c r="K5" s="72"/>
      <c r="L5" s="78"/>
      <c r="M5" s="78"/>
      <c r="N5" s="79"/>
      <c r="O5" s="79"/>
      <c r="P5" s="76"/>
      <c r="Q5" s="72"/>
    </row>
    <row r="6" spans="1:17" s="185" customFormat="1" ht="111.75" customHeight="1">
      <c r="A6" s="174" t="s">
        <v>111</v>
      </c>
      <c r="B6" s="175" t="s">
        <v>112</v>
      </c>
      <c r="C6" s="175" t="s">
        <v>108</v>
      </c>
      <c r="D6" s="176" t="s">
        <v>109</v>
      </c>
      <c r="E6" s="177" t="s">
        <v>113</v>
      </c>
      <c r="F6" s="178"/>
      <c r="G6" s="178"/>
      <c r="H6" s="199"/>
      <c r="I6" s="180"/>
      <c r="J6" s="200"/>
      <c r="K6" s="178"/>
      <c r="L6" s="182"/>
      <c r="M6" s="182"/>
      <c r="N6" s="183"/>
      <c r="O6" s="183"/>
      <c r="P6" s="180"/>
      <c r="Q6" s="178"/>
    </row>
    <row r="7" spans="1:17" s="80" customFormat="1" ht="97.5" customHeight="1">
      <c r="A7" s="120" t="s">
        <v>114</v>
      </c>
      <c r="B7" s="73" t="s">
        <v>115</v>
      </c>
      <c r="C7" s="73" t="s">
        <v>108</v>
      </c>
      <c r="D7" s="74" t="s">
        <v>109</v>
      </c>
      <c r="E7" s="112" t="s">
        <v>116</v>
      </c>
      <c r="F7" s="72"/>
      <c r="G7" s="72"/>
      <c r="H7" s="75"/>
      <c r="I7" s="76"/>
      <c r="J7" s="77"/>
      <c r="K7" s="72"/>
      <c r="L7" s="78"/>
      <c r="M7" s="78"/>
      <c r="N7" s="79"/>
      <c r="O7" s="79"/>
      <c r="P7" s="76"/>
      <c r="Q7" s="72"/>
    </row>
    <row r="8" spans="1:17" s="80" customFormat="1" ht="101.25" customHeight="1">
      <c r="A8" s="120" t="s">
        <v>117</v>
      </c>
      <c r="B8" s="73" t="s">
        <v>118</v>
      </c>
      <c r="C8" s="73" t="s">
        <v>108</v>
      </c>
      <c r="D8" s="74" t="s">
        <v>109</v>
      </c>
      <c r="E8" s="112" t="s">
        <v>119</v>
      </c>
      <c r="F8" s="72"/>
      <c r="G8" s="72"/>
      <c r="H8" s="75"/>
      <c r="I8" s="76"/>
      <c r="J8" s="77"/>
      <c r="K8" s="72"/>
      <c r="L8" s="78"/>
      <c r="M8" s="78"/>
      <c r="N8" s="79"/>
      <c r="O8" s="79"/>
      <c r="P8" s="76"/>
      <c r="Q8" s="72"/>
    </row>
    <row r="9" spans="1:17" s="80" customFormat="1" ht="16.5" customHeight="1">
      <c r="A9" s="120"/>
      <c r="B9" s="73"/>
      <c r="C9" s="73"/>
      <c r="D9" s="74"/>
      <c r="E9" s="112"/>
      <c r="F9" s="72"/>
      <c r="G9" s="72"/>
      <c r="H9" s="75"/>
      <c r="I9" s="76"/>
      <c r="J9" s="77"/>
      <c r="K9" s="72"/>
      <c r="L9" s="78"/>
      <c r="M9" s="78"/>
      <c r="N9" s="79"/>
      <c r="O9" s="79"/>
      <c r="P9" s="76"/>
      <c r="Q9" s="72"/>
    </row>
    <row r="10" spans="1:17" s="98" customFormat="1" ht="83.25" customHeight="1">
      <c r="A10" s="121" t="s">
        <v>120</v>
      </c>
      <c r="B10" s="91" t="s">
        <v>121</v>
      </c>
      <c r="C10" s="91"/>
      <c r="D10" s="92"/>
      <c r="E10" s="113"/>
      <c r="F10" s="90"/>
      <c r="G10" s="90"/>
      <c r="H10" s="93"/>
      <c r="I10" s="94"/>
      <c r="J10" s="95"/>
      <c r="K10" s="90"/>
      <c r="L10" s="96"/>
      <c r="M10" s="96"/>
      <c r="N10" s="97"/>
      <c r="O10" s="97"/>
      <c r="P10" s="94"/>
      <c r="Q10" s="90"/>
    </row>
    <row r="11" spans="1:17" s="107" customFormat="1" ht="86.25" customHeight="1">
      <c r="A11" s="124" t="s">
        <v>122</v>
      </c>
      <c r="B11" s="70" t="s">
        <v>123</v>
      </c>
      <c r="C11" s="70" t="s">
        <v>96</v>
      </c>
      <c r="D11" s="39" t="s">
        <v>124</v>
      </c>
      <c r="E11" s="114"/>
      <c r="F11" s="99" t="s">
        <v>125</v>
      </c>
      <c r="G11" s="99" t="s">
        <v>126</v>
      </c>
      <c r="H11" s="152" t="s">
        <v>127</v>
      </c>
      <c r="I11" s="103" t="s">
        <v>128</v>
      </c>
      <c r="J11" s="153" t="s">
        <v>129</v>
      </c>
      <c r="K11" s="99" t="s">
        <v>130</v>
      </c>
      <c r="L11" s="154" t="s">
        <v>131</v>
      </c>
      <c r="M11" s="105">
        <v>46935</v>
      </c>
      <c r="N11" s="106" t="s">
        <v>132</v>
      </c>
      <c r="O11" s="99" t="s">
        <v>133</v>
      </c>
      <c r="P11" s="155" t="s">
        <v>134</v>
      </c>
      <c r="Q11" s="99"/>
    </row>
    <row r="12" spans="1:17" s="107" customFormat="1" ht="113.25" customHeight="1">
      <c r="A12" s="124" t="s">
        <v>135</v>
      </c>
      <c r="B12" s="70" t="s">
        <v>136</v>
      </c>
      <c r="C12" s="70" t="s">
        <v>96</v>
      </c>
      <c r="D12" s="39" t="s">
        <v>137</v>
      </c>
      <c r="E12" s="114"/>
      <c r="F12" s="99" t="s">
        <v>138</v>
      </c>
      <c r="G12" s="99" t="s">
        <v>139</v>
      </c>
      <c r="H12" s="102" t="s">
        <v>140</v>
      </c>
      <c r="I12" s="103" t="s">
        <v>128</v>
      </c>
      <c r="J12" s="153" t="s">
        <v>141</v>
      </c>
      <c r="K12" s="99" t="s">
        <v>142</v>
      </c>
      <c r="L12" s="154" t="s">
        <v>143</v>
      </c>
      <c r="M12" s="105" t="s">
        <v>144</v>
      </c>
      <c r="N12" s="106" t="s">
        <v>145</v>
      </c>
      <c r="O12" s="99" t="s">
        <v>146</v>
      </c>
      <c r="P12" s="155" t="s">
        <v>147</v>
      </c>
      <c r="Q12" s="99"/>
    </row>
    <row r="13" spans="1:17" s="107" customFormat="1" ht="95.25" hidden="1" customHeight="1">
      <c r="A13" s="122" t="s">
        <v>148</v>
      </c>
      <c r="B13" s="100" t="s">
        <v>149</v>
      </c>
      <c r="C13" s="100" t="s">
        <v>150</v>
      </c>
      <c r="D13" s="101" t="s">
        <v>124</v>
      </c>
      <c r="E13" s="114" t="s">
        <v>151</v>
      </c>
      <c r="F13" s="99"/>
      <c r="G13" s="99"/>
      <c r="H13" s="102"/>
      <c r="I13" s="103"/>
      <c r="J13" s="104"/>
      <c r="K13" s="99"/>
      <c r="L13" s="105"/>
      <c r="M13" s="105"/>
      <c r="N13" s="106"/>
      <c r="O13" s="106"/>
      <c r="P13" s="103"/>
      <c r="Q13" s="99"/>
    </row>
    <row r="14" spans="1:17" s="107" customFormat="1" ht="80.25" hidden="1" customHeight="1">
      <c r="A14" s="122" t="s">
        <v>152</v>
      </c>
      <c r="B14" s="100" t="s">
        <v>153</v>
      </c>
      <c r="C14" s="100" t="s">
        <v>150</v>
      </c>
      <c r="D14" s="101" t="s">
        <v>109</v>
      </c>
      <c r="E14" s="114" t="s">
        <v>154</v>
      </c>
      <c r="F14" s="99"/>
      <c r="G14" s="99"/>
      <c r="H14" s="102"/>
      <c r="I14" s="103"/>
      <c r="J14" s="104"/>
      <c r="K14" s="99"/>
      <c r="L14" s="105"/>
      <c r="M14" s="105"/>
      <c r="N14" s="106"/>
      <c r="O14" s="106"/>
      <c r="P14" s="103"/>
      <c r="Q14" s="99"/>
    </row>
    <row r="15" spans="1:17" s="107" customFormat="1" ht="80.25" customHeight="1">
      <c r="A15" s="122" t="s">
        <v>155</v>
      </c>
      <c r="B15" s="100" t="s">
        <v>156</v>
      </c>
      <c r="C15" s="100" t="s">
        <v>150</v>
      </c>
      <c r="D15" s="101" t="s">
        <v>109</v>
      </c>
      <c r="E15" s="114"/>
      <c r="F15" s="99"/>
      <c r="G15" s="99"/>
      <c r="H15" s="102" t="s">
        <v>157</v>
      </c>
      <c r="I15" s="103"/>
      <c r="J15" s="104"/>
      <c r="K15" s="99"/>
      <c r="L15" s="105"/>
      <c r="M15" s="105"/>
      <c r="N15" s="106"/>
      <c r="O15" s="106"/>
      <c r="P15" s="103"/>
      <c r="Q15" s="99"/>
    </row>
    <row r="16" spans="1:17" s="185" customFormat="1" ht="101.25" customHeight="1">
      <c r="A16" s="174" t="s">
        <v>158</v>
      </c>
      <c r="B16" s="175" t="s">
        <v>159</v>
      </c>
      <c r="C16" s="175" t="s">
        <v>150</v>
      </c>
      <c r="D16" s="176" t="s">
        <v>97</v>
      </c>
      <c r="E16" s="177"/>
      <c r="F16" s="178" t="s">
        <v>160</v>
      </c>
      <c r="G16" s="178" t="s">
        <v>161</v>
      </c>
      <c r="H16" s="179" t="s">
        <v>162</v>
      </c>
      <c r="I16" s="180" t="s">
        <v>128</v>
      </c>
      <c r="J16" s="181" t="s">
        <v>163</v>
      </c>
      <c r="K16" s="178"/>
      <c r="L16" s="182" t="s">
        <v>132</v>
      </c>
      <c r="M16" s="182" t="s">
        <v>164</v>
      </c>
      <c r="N16" s="183"/>
      <c r="O16" s="183"/>
      <c r="P16" s="184" t="s">
        <v>165</v>
      </c>
      <c r="Q16" s="178"/>
    </row>
    <row r="17" spans="1:17" s="107" customFormat="1" ht="15.75" customHeight="1">
      <c r="A17" s="122"/>
      <c r="B17" s="100"/>
      <c r="C17" s="100"/>
      <c r="D17" s="101"/>
      <c r="E17" s="114"/>
      <c r="F17" s="99"/>
      <c r="G17" s="99"/>
      <c r="H17" s="102"/>
      <c r="I17" s="103"/>
      <c r="J17" s="157" t="s">
        <v>166</v>
      </c>
      <c r="K17" s="99"/>
      <c r="L17" s="105"/>
      <c r="M17" s="105"/>
      <c r="N17" s="106"/>
      <c r="O17" s="106"/>
      <c r="P17" s="103"/>
      <c r="Q17" s="99"/>
    </row>
    <row r="18" spans="1:17" s="98" customFormat="1" ht="65.25" customHeight="1">
      <c r="A18" s="121" t="s">
        <v>167</v>
      </c>
      <c r="B18" s="91" t="s">
        <v>168</v>
      </c>
      <c r="C18" s="91"/>
      <c r="D18" s="92"/>
      <c r="E18" s="113"/>
      <c r="F18" s="90"/>
      <c r="G18" s="90"/>
      <c r="H18" s="93"/>
      <c r="I18" s="94"/>
      <c r="J18" s="95"/>
      <c r="K18" s="90"/>
      <c r="L18" s="96"/>
      <c r="M18" s="96"/>
      <c r="N18" s="97"/>
      <c r="O18" s="97"/>
      <c r="P18" s="94"/>
      <c r="Q18" s="90"/>
    </row>
    <row r="19" spans="1:17" s="107" customFormat="1" ht="62.25" customHeight="1">
      <c r="A19" s="124" t="s">
        <v>169</v>
      </c>
      <c r="B19" s="70" t="s">
        <v>170</v>
      </c>
      <c r="C19" s="70" t="s">
        <v>96</v>
      </c>
      <c r="D19" s="39" t="s">
        <v>109</v>
      </c>
      <c r="E19" s="114" t="s">
        <v>171</v>
      </c>
      <c r="F19" s="99"/>
      <c r="G19" s="99"/>
      <c r="H19" s="102" t="s">
        <v>172</v>
      </c>
      <c r="I19" s="103"/>
      <c r="J19" s="104"/>
      <c r="K19" s="99" t="s">
        <v>173</v>
      </c>
      <c r="L19" s="105">
        <v>46023</v>
      </c>
      <c r="M19" s="105">
        <v>47118</v>
      </c>
      <c r="N19" s="106" t="s">
        <v>174</v>
      </c>
      <c r="O19" s="106" t="s">
        <v>164</v>
      </c>
      <c r="P19" s="155" t="s">
        <v>175</v>
      </c>
      <c r="Q19" s="99"/>
    </row>
    <row r="20" spans="1:17" s="107" customFormat="1" ht="83.25" customHeight="1">
      <c r="A20" s="124" t="s">
        <v>176</v>
      </c>
      <c r="B20" s="70" t="s">
        <v>177</v>
      </c>
      <c r="C20" s="70" t="s">
        <v>96</v>
      </c>
      <c r="D20" s="39" t="s">
        <v>109</v>
      </c>
      <c r="E20" s="114" t="s">
        <v>178</v>
      </c>
      <c r="F20" s="99"/>
      <c r="G20" s="99"/>
      <c r="H20" s="102" t="s">
        <v>172</v>
      </c>
      <c r="I20" s="103"/>
      <c r="J20" s="104"/>
      <c r="K20" s="99" t="s">
        <v>179</v>
      </c>
      <c r="L20" s="105">
        <v>46023</v>
      </c>
      <c r="M20" s="105">
        <v>46387</v>
      </c>
      <c r="N20" s="106" t="s">
        <v>174</v>
      </c>
      <c r="O20" s="106" t="s">
        <v>164</v>
      </c>
      <c r="P20" s="155" t="s">
        <v>175</v>
      </c>
      <c r="Q20" s="99"/>
    </row>
    <row r="21" spans="1:17" s="107" customFormat="1" ht="15.75" customHeight="1">
      <c r="A21" s="122"/>
      <c r="B21" s="100"/>
      <c r="C21" s="100"/>
      <c r="D21" s="101"/>
      <c r="E21" s="114"/>
      <c r="F21" s="99"/>
      <c r="G21" s="99"/>
      <c r="H21" s="102"/>
      <c r="I21" s="103"/>
      <c r="J21" s="104"/>
      <c r="K21" s="99"/>
      <c r="L21" s="105"/>
      <c r="M21" s="105"/>
      <c r="N21" s="106"/>
      <c r="O21" s="106"/>
      <c r="P21" s="103"/>
      <c r="Q21" s="99"/>
    </row>
    <row r="22" spans="1:17" s="98" customFormat="1" ht="105" customHeight="1">
      <c r="A22" s="121" t="s">
        <v>180</v>
      </c>
      <c r="B22" s="91"/>
      <c r="C22" s="91"/>
      <c r="D22" s="92"/>
      <c r="E22" s="113"/>
      <c r="F22" s="90"/>
      <c r="G22" s="90"/>
      <c r="H22" s="93"/>
      <c r="I22" s="94"/>
      <c r="J22" s="95"/>
      <c r="K22" s="90"/>
      <c r="L22" s="96"/>
      <c r="M22" s="96"/>
      <c r="N22" s="97"/>
      <c r="O22" s="97"/>
      <c r="P22" s="94"/>
      <c r="Q22" s="90"/>
    </row>
    <row r="23" spans="1:17" s="45" customFormat="1" ht="89.45" customHeight="1">
      <c r="A23" s="123" t="s">
        <v>181</v>
      </c>
      <c r="B23" s="38" t="s">
        <v>182</v>
      </c>
      <c r="C23" s="38" t="s">
        <v>96</v>
      </c>
      <c r="D23" s="39" t="s">
        <v>124</v>
      </c>
      <c r="E23" s="115" t="s">
        <v>183</v>
      </c>
      <c r="F23" s="40"/>
      <c r="G23" s="40"/>
      <c r="H23" s="41" t="s">
        <v>184</v>
      </c>
      <c r="I23" s="43"/>
      <c r="J23" s="42"/>
      <c r="K23" s="40"/>
      <c r="L23" s="44"/>
      <c r="M23" s="44"/>
      <c r="N23" s="40"/>
      <c r="O23" s="36"/>
      <c r="P23" s="34"/>
      <c r="Q23" s="40"/>
    </row>
    <row r="24" spans="1:17" s="197" customFormat="1" ht="51" customHeight="1">
      <c r="A24" s="190" t="s">
        <v>185</v>
      </c>
      <c r="B24" s="165" t="s">
        <v>186</v>
      </c>
      <c r="C24" s="165" t="s">
        <v>96</v>
      </c>
      <c r="D24" s="166" t="s">
        <v>124</v>
      </c>
      <c r="E24" s="191" t="s">
        <v>187</v>
      </c>
      <c r="F24" s="192"/>
      <c r="G24" s="192"/>
      <c r="H24" s="193" t="s">
        <v>188</v>
      </c>
      <c r="I24" s="169"/>
      <c r="J24" s="194"/>
      <c r="K24" s="192"/>
      <c r="L24" s="195"/>
      <c r="M24" s="195"/>
      <c r="N24" s="192"/>
      <c r="O24" s="196"/>
      <c r="P24" s="173"/>
      <c r="Q24" s="192"/>
    </row>
    <row r="25" spans="1:17" s="45" customFormat="1" ht="71.25">
      <c r="A25" s="128" t="s">
        <v>189</v>
      </c>
      <c r="B25" s="129" t="s">
        <v>190</v>
      </c>
      <c r="C25" s="129" t="s">
        <v>96</v>
      </c>
      <c r="D25" s="130" t="s">
        <v>124</v>
      </c>
      <c r="E25" s="131" t="s">
        <v>191</v>
      </c>
      <c r="F25" s="132"/>
      <c r="G25" s="132"/>
      <c r="H25" s="133" t="s">
        <v>192</v>
      </c>
      <c r="I25" s="134"/>
      <c r="J25" s="135"/>
      <c r="K25" s="132"/>
      <c r="L25" s="136"/>
      <c r="M25" s="136"/>
      <c r="N25" s="132"/>
      <c r="O25" s="137"/>
      <c r="P25" s="138"/>
      <c r="Q25" s="132"/>
    </row>
    <row r="26" spans="1:17" s="148" customFormat="1" ht="78.75" customHeight="1">
      <c r="A26" s="124" t="s">
        <v>193</v>
      </c>
      <c r="B26" s="70" t="s">
        <v>194</v>
      </c>
      <c r="C26" s="70" t="s">
        <v>96</v>
      </c>
      <c r="D26" s="39" t="s">
        <v>124</v>
      </c>
      <c r="E26" s="39" t="s">
        <v>191</v>
      </c>
      <c r="H26" s="149" t="s">
        <v>195</v>
      </c>
      <c r="I26" s="43"/>
      <c r="J26" s="149"/>
      <c r="L26" s="150"/>
      <c r="M26" s="150"/>
      <c r="O26" s="151"/>
      <c r="P26" s="34"/>
    </row>
    <row r="27" spans="1:17" s="167" customFormat="1" ht="78.75" customHeight="1">
      <c r="A27" s="164" t="s">
        <v>196</v>
      </c>
      <c r="B27" s="165" t="s">
        <v>197</v>
      </c>
      <c r="C27" s="165" t="s">
        <v>108</v>
      </c>
      <c r="D27" s="166" t="s">
        <v>124</v>
      </c>
      <c r="E27" s="166" t="s">
        <v>198</v>
      </c>
      <c r="H27" s="168" t="s">
        <v>199</v>
      </c>
      <c r="I27" s="169"/>
      <c r="J27" s="170"/>
      <c r="L27" s="171"/>
      <c r="M27" s="171"/>
      <c r="O27" s="172"/>
      <c r="P27" s="173"/>
    </row>
    <row r="28" spans="1:17" s="187" customFormat="1" ht="50.25" customHeight="1">
      <c r="A28" s="164" t="s">
        <v>200</v>
      </c>
      <c r="B28" s="165" t="s">
        <v>201</v>
      </c>
      <c r="C28" s="165" t="s">
        <v>96</v>
      </c>
      <c r="D28" s="166" t="s">
        <v>124</v>
      </c>
      <c r="E28" s="186" t="s">
        <v>202</v>
      </c>
      <c r="H28" s="187" t="s">
        <v>203</v>
      </c>
    </row>
    <row r="29" spans="1:17" s="125" customFormat="1" ht="36" customHeight="1">
      <c r="A29" s="124" t="s">
        <v>204</v>
      </c>
      <c r="B29" s="70" t="s">
        <v>205</v>
      </c>
      <c r="C29" s="70" t="s">
        <v>96</v>
      </c>
      <c r="D29" s="39" t="s">
        <v>124</v>
      </c>
      <c r="E29" s="143" t="s">
        <v>206</v>
      </c>
      <c r="H29" s="125" t="s">
        <v>172</v>
      </c>
    </row>
    <row r="30" spans="1:17" s="187" customFormat="1" ht="70.5" customHeight="1">
      <c r="A30" s="164" t="s">
        <v>207</v>
      </c>
      <c r="B30" s="165" t="s">
        <v>208</v>
      </c>
      <c r="C30" s="165" t="s">
        <v>96</v>
      </c>
      <c r="D30" s="166" t="s">
        <v>124</v>
      </c>
      <c r="E30" s="198" t="s">
        <v>187</v>
      </c>
      <c r="H30" s="187" t="s">
        <v>209</v>
      </c>
    </row>
    <row r="31" spans="1:17" s="125" customFormat="1" ht="14.25">
      <c r="A31" s="124"/>
      <c r="B31" s="70"/>
      <c r="C31" s="70"/>
      <c r="D31" s="39"/>
    </row>
    <row r="32" spans="1:17" s="141" customFormat="1" ht="54" customHeight="1">
      <c r="A32" s="121" t="s">
        <v>210</v>
      </c>
      <c r="B32" s="91"/>
      <c r="C32" s="91"/>
      <c r="D32" s="92"/>
      <c r="E32" s="92"/>
      <c r="F32" s="91"/>
      <c r="G32" s="91"/>
      <c r="H32" s="139"/>
      <c r="I32" s="94"/>
      <c r="J32" s="139"/>
      <c r="K32" s="91"/>
      <c r="L32" s="140"/>
      <c r="M32" s="140"/>
      <c r="P32" s="94"/>
      <c r="Q32" s="91"/>
    </row>
    <row r="33" spans="1:16" s="125" customFormat="1" ht="67.5" customHeight="1">
      <c r="A33" s="124" t="s">
        <v>211</v>
      </c>
      <c r="B33" s="70" t="s">
        <v>212</v>
      </c>
      <c r="C33" s="70" t="s">
        <v>96</v>
      </c>
      <c r="D33" s="39" t="s">
        <v>124</v>
      </c>
    </row>
    <row r="34" spans="1:16" s="125" customFormat="1" ht="72" customHeight="1">
      <c r="A34" s="124" t="s">
        <v>213</v>
      </c>
      <c r="B34" s="70" t="s">
        <v>214</v>
      </c>
      <c r="C34" s="70" t="s">
        <v>96</v>
      </c>
      <c r="D34" s="39" t="s">
        <v>124</v>
      </c>
    </row>
    <row r="35" spans="1:16" s="125" customFormat="1" ht="78.75" customHeight="1">
      <c r="A35" s="126" t="s">
        <v>215</v>
      </c>
      <c r="B35" s="70" t="s">
        <v>216</v>
      </c>
      <c r="C35" s="70" t="s">
        <v>96</v>
      </c>
      <c r="D35" s="39" t="s">
        <v>109</v>
      </c>
    </row>
    <row r="36" spans="1:16" s="125" customFormat="1" ht="75" customHeight="1">
      <c r="A36" s="126" t="s">
        <v>217</v>
      </c>
      <c r="B36" s="70" t="s">
        <v>218</v>
      </c>
      <c r="C36" s="70" t="s">
        <v>96</v>
      </c>
      <c r="D36" s="39" t="s">
        <v>124</v>
      </c>
    </row>
    <row r="37" spans="1:16" s="125" customFormat="1" ht="74.25" customHeight="1">
      <c r="A37" s="126" t="s">
        <v>219</v>
      </c>
      <c r="B37" s="70" t="s">
        <v>220</v>
      </c>
      <c r="C37" s="70" t="s">
        <v>96</v>
      </c>
      <c r="D37" s="39" t="s">
        <v>124</v>
      </c>
    </row>
    <row r="38" spans="1:16" s="125" customFormat="1" ht="20.25" customHeight="1">
      <c r="A38" s="126"/>
      <c r="B38" s="70"/>
      <c r="C38" s="70"/>
      <c r="D38" s="39"/>
    </row>
    <row r="39" spans="1:16" s="147" customFormat="1" ht="81.75" customHeight="1">
      <c r="A39" s="144" t="s">
        <v>221</v>
      </c>
      <c r="B39" s="145"/>
      <c r="C39" s="145"/>
      <c r="D39" s="146"/>
    </row>
    <row r="40" spans="1:16" s="187" customFormat="1" ht="57" customHeight="1">
      <c r="A40" s="164" t="s">
        <v>222</v>
      </c>
      <c r="B40" s="165" t="s">
        <v>223</v>
      </c>
      <c r="C40" s="165" t="s">
        <v>96</v>
      </c>
      <c r="D40" s="166" t="s">
        <v>92</v>
      </c>
      <c r="P40" s="188" t="s">
        <v>224</v>
      </c>
    </row>
    <row r="41" spans="1:16" s="187" customFormat="1" ht="54" customHeight="1">
      <c r="A41" s="189" t="s">
        <v>225</v>
      </c>
      <c r="B41" s="165" t="s">
        <v>226</v>
      </c>
      <c r="C41" s="165" t="s">
        <v>96</v>
      </c>
      <c r="D41" s="166" t="s">
        <v>92</v>
      </c>
      <c r="P41" s="188" t="s">
        <v>227</v>
      </c>
    </row>
    <row r="42" spans="1:16" s="187" customFormat="1" ht="63.75" customHeight="1">
      <c r="A42" s="164" t="s">
        <v>228</v>
      </c>
      <c r="B42" s="165" t="s">
        <v>229</v>
      </c>
      <c r="C42" s="165" t="s">
        <v>96</v>
      </c>
      <c r="D42" s="166" t="s">
        <v>109</v>
      </c>
      <c r="P42" s="188" t="s">
        <v>227</v>
      </c>
    </row>
    <row r="43" spans="1:16" s="187" customFormat="1" ht="70.5" customHeight="1">
      <c r="A43" s="164" t="s">
        <v>228</v>
      </c>
      <c r="B43" s="165" t="s">
        <v>230</v>
      </c>
      <c r="C43" s="165" t="s">
        <v>96</v>
      </c>
      <c r="D43" s="166" t="s">
        <v>92</v>
      </c>
      <c r="P43" s="188" t="s">
        <v>227</v>
      </c>
    </row>
    <row r="44" spans="1:16" s="187" customFormat="1" ht="81.75" customHeight="1">
      <c r="A44" s="164" t="s">
        <v>228</v>
      </c>
      <c r="B44" s="165" t="s">
        <v>231</v>
      </c>
      <c r="C44" s="165" t="s">
        <v>96</v>
      </c>
      <c r="D44" s="166" t="s">
        <v>232</v>
      </c>
      <c r="P44" s="188" t="s">
        <v>227</v>
      </c>
    </row>
    <row r="45" spans="1:16" s="187" customFormat="1" ht="54.75" customHeight="1">
      <c r="A45" s="164" t="s">
        <v>233</v>
      </c>
      <c r="B45" s="165" t="s">
        <v>234</v>
      </c>
      <c r="C45" s="165" t="s">
        <v>96</v>
      </c>
      <c r="D45" s="166" t="s">
        <v>124</v>
      </c>
      <c r="P45" s="188" t="s">
        <v>235</v>
      </c>
    </row>
    <row r="46" spans="1:16" s="187" customFormat="1" ht="54.75" customHeight="1">
      <c r="A46" s="164" t="s">
        <v>236</v>
      </c>
      <c r="B46" s="165" t="s">
        <v>237</v>
      </c>
      <c r="C46" s="165" t="s">
        <v>96</v>
      </c>
      <c r="D46" s="166" t="s">
        <v>109</v>
      </c>
    </row>
    <row r="47" spans="1:16" s="187" customFormat="1" ht="51.75" customHeight="1">
      <c r="A47" s="190" t="s">
        <v>238</v>
      </c>
      <c r="B47" s="165" t="s">
        <v>239</v>
      </c>
      <c r="C47" s="165" t="s">
        <v>96</v>
      </c>
      <c r="D47" s="166" t="s">
        <v>109</v>
      </c>
      <c r="P47" s="188" t="s">
        <v>227</v>
      </c>
    </row>
  </sheetData>
  <sortState xmlns:xlrd2="http://schemas.microsoft.com/office/spreadsheetml/2017/richdata2" ref="A23:D47">
    <sortCondition ref="D23:D47"/>
  </sortState>
  <dataValidations count="4">
    <dataValidation allowBlank="1" showInputMessage="1" showErrorMessage="1" sqref="A1:D1 A2:C2 F1:Q2 B3:B10 B13:B18 O32:P32 B32 E32 E1:E27 B21:B27 O3:P27" xr:uid="{6FF9FDFE-57E4-4B40-95BF-0313A0EA7D2C}"/>
    <dataValidation type="list" allowBlank="1" showInputMessage="1" showErrorMessage="1" sqref="C3:C10 C13:C18 C32 C21:C27" xr:uid="{5DAB7581-BECC-4AAE-B4EB-0F0CE0624B9D}">
      <formula1>"Statewide,Hospital,Regional"</formula1>
    </dataValidation>
    <dataValidation type="list" allowBlank="1" showInputMessage="1" showErrorMessage="1" sqref="I32 I3:I27" xr:uid="{FCCD4BAD-48FB-4417-AFFB-DE15D84CD807}">
      <formula1>"Business Case,Invoice costs,Staff costs,Vendor quote,Other"</formula1>
    </dataValidation>
    <dataValidation type="list" allowBlank="1" showInputMessage="1" showErrorMessage="1" sqref="D3:D47" xr:uid="{BE7F5688-39D1-44B4-BDC7-642A24E40DC7}">
      <formula1>"Clinical Service Redesign,Transfers and Transport,Shared Purchasing,Information Technology,Workforce,Other"</formula1>
    </dataValidation>
  </dataValidations>
  <pageMargins left="0.7" right="0.7" top="0.75" bottom="0.75" header="0.3" footer="0.3"/>
  <pageSetup paperSize="3" scale="42" fitToHeight="4" orientation="landscape"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D08F-698F-4591-B999-FD020DEF0B47}">
  <dimension ref="A2:Q34"/>
  <sheetViews>
    <sheetView tabSelected="1" topLeftCell="A26" workbookViewId="0">
      <selection activeCell="A28" sqref="A27:XFD28"/>
    </sheetView>
  </sheetViews>
  <sheetFormatPr defaultRowHeight="15"/>
  <cols>
    <col min="5" max="5" width="50.28515625" bestFit="1" customWidth="1"/>
    <col min="8" max="8" width="13.7109375" bestFit="1" customWidth="1"/>
    <col min="9" max="9" width="13.85546875" bestFit="1" customWidth="1"/>
    <col min="13" max="13" width="11.140625" bestFit="1" customWidth="1"/>
    <col min="14" max="14" width="6" bestFit="1" customWidth="1"/>
  </cols>
  <sheetData>
    <row r="2" spans="1:17" ht="409.6">
      <c r="A2" s="120" t="s">
        <v>106</v>
      </c>
      <c r="B2" s="73" t="s">
        <v>107</v>
      </c>
      <c r="C2" s="73" t="s">
        <v>108</v>
      </c>
      <c r="D2" s="74" t="s">
        <v>109</v>
      </c>
      <c r="E2" s="112" t="s">
        <v>110</v>
      </c>
      <c r="F2" s="72"/>
      <c r="G2" s="72"/>
      <c r="H2" s="75"/>
      <c r="I2" s="76"/>
      <c r="J2" s="77"/>
      <c r="K2" s="72"/>
      <c r="L2" s="78"/>
      <c r="M2" s="78"/>
      <c r="N2" s="79"/>
      <c r="O2" s="79"/>
      <c r="P2" s="76"/>
      <c r="Q2" s="72"/>
    </row>
    <row r="3" spans="1:17" ht="409.6">
      <c r="A3" s="120" t="s">
        <v>111</v>
      </c>
      <c r="B3" s="73" t="s">
        <v>112</v>
      </c>
      <c r="C3" s="73" t="s">
        <v>108</v>
      </c>
      <c r="D3" s="74" t="s">
        <v>109</v>
      </c>
      <c r="E3" s="112" t="s">
        <v>113</v>
      </c>
      <c r="F3" s="72"/>
      <c r="G3" s="72"/>
      <c r="H3" s="75"/>
      <c r="I3" s="76"/>
      <c r="J3" s="77"/>
      <c r="K3" s="72"/>
      <c r="L3" s="78"/>
      <c r="M3" s="78"/>
      <c r="N3" s="79"/>
      <c r="O3" s="79"/>
      <c r="P3" s="76"/>
      <c r="Q3" s="72"/>
    </row>
    <row r="4" spans="1:17" ht="409.6">
      <c r="A4" s="120" t="s">
        <v>114</v>
      </c>
      <c r="B4" s="73" t="s">
        <v>115</v>
      </c>
      <c r="C4" s="73" t="s">
        <v>108</v>
      </c>
      <c r="D4" s="74" t="s">
        <v>109</v>
      </c>
      <c r="E4" s="112" t="s">
        <v>116</v>
      </c>
      <c r="F4" s="72"/>
      <c r="G4" s="72"/>
      <c r="H4" s="75"/>
      <c r="I4" s="76"/>
      <c r="J4" s="77"/>
      <c r="K4" s="72"/>
      <c r="L4" s="78"/>
      <c r="M4" s="78"/>
      <c r="N4" s="79"/>
      <c r="O4" s="79"/>
      <c r="P4" s="76"/>
      <c r="Q4" s="72"/>
    </row>
    <row r="5" spans="1:17" ht="409.6">
      <c r="A5" s="120" t="s">
        <v>117</v>
      </c>
      <c r="B5" s="73" t="s">
        <v>118</v>
      </c>
      <c r="C5" s="73" t="s">
        <v>108</v>
      </c>
      <c r="D5" s="74" t="s">
        <v>109</v>
      </c>
      <c r="E5" s="112" t="s">
        <v>119</v>
      </c>
      <c r="F5" s="72"/>
      <c r="G5" s="72"/>
      <c r="H5" s="75"/>
      <c r="I5" s="76"/>
      <c r="J5" s="77"/>
      <c r="K5" s="72"/>
      <c r="L5" s="78"/>
      <c r="M5" s="78"/>
      <c r="N5" s="79"/>
      <c r="O5" s="79"/>
      <c r="P5" s="76"/>
      <c r="Q5" s="72"/>
    </row>
    <row r="6" spans="1:17" ht="188.25">
      <c r="A6" s="124" t="s">
        <v>122</v>
      </c>
      <c r="B6" s="70" t="s">
        <v>123</v>
      </c>
      <c r="C6" s="70" t="s">
        <v>96</v>
      </c>
      <c r="D6" s="39" t="s">
        <v>124</v>
      </c>
      <c r="E6" s="114"/>
      <c r="F6" s="99" t="s">
        <v>125</v>
      </c>
      <c r="G6" s="99" t="s">
        <v>126</v>
      </c>
      <c r="H6" s="152" t="s">
        <v>127</v>
      </c>
      <c r="I6" s="103" t="s">
        <v>128</v>
      </c>
      <c r="J6" s="153" t="s">
        <v>129</v>
      </c>
      <c r="K6" s="99" t="s">
        <v>130</v>
      </c>
      <c r="L6" s="154" t="s">
        <v>131</v>
      </c>
      <c r="M6" s="105">
        <v>46935</v>
      </c>
      <c r="N6" s="106" t="s">
        <v>132</v>
      </c>
      <c r="O6" s="99" t="s">
        <v>133</v>
      </c>
      <c r="P6" s="155" t="s">
        <v>134</v>
      </c>
      <c r="Q6" s="99"/>
    </row>
    <row r="7" spans="1:17" ht="361.5">
      <c r="A7" s="124" t="s">
        <v>135</v>
      </c>
      <c r="B7" s="70" t="s">
        <v>136</v>
      </c>
      <c r="C7" s="70" t="s">
        <v>96</v>
      </c>
      <c r="D7" s="39" t="s">
        <v>137</v>
      </c>
      <c r="E7" s="114"/>
      <c r="F7" s="99" t="s">
        <v>138</v>
      </c>
      <c r="G7" s="99" t="s">
        <v>139</v>
      </c>
      <c r="H7" s="102" t="s">
        <v>140</v>
      </c>
      <c r="I7" s="103" t="s">
        <v>128</v>
      </c>
      <c r="J7" s="153" t="s">
        <v>141</v>
      </c>
      <c r="K7" s="99" t="s">
        <v>142</v>
      </c>
      <c r="L7" s="154" t="s">
        <v>143</v>
      </c>
      <c r="M7" s="105" t="s">
        <v>144</v>
      </c>
      <c r="N7" s="106" t="s">
        <v>145</v>
      </c>
      <c r="O7" s="99" t="s">
        <v>146</v>
      </c>
      <c r="P7" s="155" t="s">
        <v>147</v>
      </c>
      <c r="Q7" s="99"/>
    </row>
    <row r="8" spans="1:17" ht="409.6">
      <c r="A8" s="122" t="s">
        <v>148</v>
      </c>
      <c r="B8" s="100" t="s">
        <v>149</v>
      </c>
      <c r="C8" s="100" t="s">
        <v>150</v>
      </c>
      <c r="D8" s="101" t="s">
        <v>124</v>
      </c>
      <c r="E8" s="114" t="s">
        <v>151</v>
      </c>
      <c r="F8" s="99"/>
      <c r="G8" s="99"/>
      <c r="H8" s="102"/>
      <c r="I8" s="103"/>
      <c r="J8" s="104"/>
      <c r="K8" s="99"/>
      <c r="L8" s="105"/>
      <c r="M8" s="105"/>
      <c r="N8" s="106"/>
      <c r="O8" s="106"/>
      <c r="P8" s="103"/>
      <c r="Q8" s="99"/>
    </row>
    <row r="9" spans="1:17" ht="409.6">
      <c r="A9" s="122" t="s">
        <v>152</v>
      </c>
      <c r="B9" s="100" t="s">
        <v>153</v>
      </c>
      <c r="C9" s="100" t="s">
        <v>150</v>
      </c>
      <c r="D9" s="101" t="s">
        <v>109</v>
      </c>
      <c r="E9" s="114" t="s">
        <v>154</v>
      </c>
      <c r="F9" s="99"/>
      <c r="G9" s="99"/>
      <c r="H9" s="102"/>
      <c r="I9" s="103"/>
      <c r="J9" s="104"/>
      <c r="K9" s="99"/>
      <c r="L9" s="105"/>
      <c r="M9" s="105"/>
      <c r="N9" s="106"/>
      <c r="O9" s="106"/>
      <c r="P9" s="103"/>
      <c r="Q9" s="99"/>
    </row>
    <row r="10" spans="1:17" ht="87">
      <c r="A10" s="122" t="s">
        <v>155</v>
      </c>
      <c r="B10" s="100" t="s">
        <v>156</v>
      </c>
      <c r="C10" s="100" t="s">
        <v>150</v>
      </c>
      <c r="D10" s="101" t="s">
        <v>109</v>
      </c>
      <c r="E10" s="114"/>
      <c r="F10" s="99"/>
      <c r="G10" s="99"/>
      <c r="H10" s="102" t="s">
        <v>157</v>
      </c>
      <c r="I10" s="103"/>
      <c r="J10" s="104"/>
      <c r="K10" s="99"/>
      <c r="L10" s="105"/>
      <c r="M10" s="105"/>
      <c r="N10" s="106"/>
      <c r="O10" s="106"/>
      <c r="P10" s="103"/>
      <c r="Q10" s="99"/>
    </row>
    <row r="11" spans="1:17" ht="409.6">
      <c r="A11" s="122" t="s">
        <v>158</v>
      </c>
      <c r="B11" s="100" t="s">
        <v>159</v>
      </c>
      <c r="C11" s="100" t="s">
        <v>150</v>
      </c>
      <c r="D11" s="101" t="s">
        <v>97</v>
      </c>
      <c r="E11" s="114"/>
      <c r="F11" s="99" t="s">
        <v>160</v>
      </c>
      <c r="G11" s="99" t="s">
        <v>161</v>
      </c>
      <c r="H11" s="152" t="s">
        <v>162</v>
      </c>
      <c r="I11" s="103" t="s">
        <v>128</v>
      </c>
      <c r="J11" s="153" t="s">
        <v>163</v>
      </c>
      <c r="K11" s="99"/>
      <c r="L11" s="105" t="s">
        <v>132</v>
      </c>
      <c r="M11" s="105" t="s">
        <v>164</v>
      </c>
      <c r="N11" s="106"/>
      <c r="O11" s="106"/>
      <c r="P11" s="155" t="s">
        <v>165</v>
      </c>
      <c r="Q11" s="99"/>
    </row>
    <row r="12" spans="1:17" ht="144.75">
      <c r="A12" s="124" t="s">
        <v>169</v>
      </c>
      <c r="B12" s="70" t="s">
        <v>170</v>
      </c>
      <c r="C12" s="70" t="s">
        <v>96</v>
      </c>
      <c r="D12" s="39" t="s">
        <v>109</v>
      </c>
      <c r="E12" s="114" t="s">
        <v>171</v>
      </c>
      <c r="F12" s="99"/>
      <c r="G12" s="99"/>
      <c r="H12" s="102" t="s">
        <v>172</v>
      </c>
      <c r="I12" s="103"/>
      <c r="J12" s="104"/>
      <c r="K12" s="99" t="s">
        <v>173</v>
      </c>
      <c r="L12" s="105">
        <v>46023</v>
      </c>
      <c r="M12" s="105">
        <v>47118</v>
      </c>
      <c r="N12" s="106" t="s">
        <v>174</v>
      </c>
      <c r="O12" s="106" t="s">
        <v>164</v>
      </c>
      <c r="P12" s="155" t="s">
        <v>175</v>
      </c>
      <c r="Q12" s="99"/>
    </row>
    <row r="13" spans="1:17" ht="288.75">
      <c r="A13" s="124" t="s">
        <v>176</v>
      </c>
      <c r="B13" s="70" t="s">
        <v>177</v>
      </c>
      <c r="C13" s="70" t="s">
        <v>96</v>
      </c>
      <c r="D13" s="39" t="s">
        <v>109</v>
      </c>
      <c r="E13" s="114" t="s">
        <v>178</v>
      </c>
      <c r="F13" s="99"/>
      <c r="G13" s="99"/>
      <c r="H13" s="102" t="s">
        <v>172</v>
      </c>
      <c r="I13" s="103"/>
      <c r="J13" s="104"/>
      <c r="K13" s="99" t="s">
        <v>179</v>
      </c>
      <c r="L13" s="105">
        <v>46023</v>
      </c>
      <c r="M13" s="105">
        <v>46387</v>
      </c>
      <c r="N13" s="106" t="s">
        <v>174</v>
      </c>
      <c r="O13" s="106" t="s">
        <v>164</v>
      </c>
      <c r="P13" s="155" t="s">
        <v>175</v>
      </c>
      <c r="Q13" s="99"/>
    </row>
    <row r="14" spans="1:17" ht="245.25">
      <c r="A14" s="123" t="s">
        <v>181</v>
      </c>
      <c r="B14" s="38" t="s">
        <v>182</v>
      </c>
      <c r="C14" s="38" t="s">
        <v>96</v>
      </c>
      <c r="D14" s="39" t="s">
        <v>124</v>
      </c>
      <c r="E14" s="115" t="s">
        <v>183</v>
      </c>
      <c r="F14" s="40"/>
      <c r="G14" s="40"/>
      <c r="H14" s="41" t="s">
        <v>184</v>
      </c>
      <c r="I14" s="43"/>
      <c r="J14" s="42"/>
      <c r="K14" s="40"/>
      <c r="L14" s="44"/>
      <c r="M14" s="44"/>
      <c r="N14" s="40"/>
      <c r="O14" s="36"/>
      <c r="P14" s="34"/>
      <c r="Q14" s="40"/>
    </row>
    <row r="15" spans="1:17" ht="231">
      <c r="A15" s="123" t="s">
        <v>185</v>
      </c>
      <c r="B15" s="38" t="s">
        <v>186</v>
      </c>
      <c r="C15" s="38" t="s">
        <v>96</v>
      </c>
      <c r="D15" s="39" t="s">
        <v>124</v>
      </c>
      <c r="E15" s="115" t="s">
        <v>187</v>
      </c>
      <c r="F15" s="40"/>
      <c r="G15" s="40"/>
      <c r="H15" s="41" t="s">
        <v>188</v>
      </c>
      <c r="I15" s="43"/>
      <c r="J15" s="42"/>
      <c r="K15" s="40"/>
      <c r="L15" s="44"/>
      <c r="M15" s="44"/>
      <c r="N15" s="40"/>
      <c r="O15" s="36"/>
      <c r="P15" s="34"/>
      <c r="Q15" s="40"/>
    </row>
    <row r="16" spans="1:17" ht="332.25">
      <c r="A16" s="128" t="s">
        <v>189</v>
      </c>
      <c r="B16" s="129" t="s">
        <v>190</v>
      </c>
      <c r="C16" s="129" t="s">
        <v>96</v>
      </c>
      <c r="D16" s="130" t="s">
        <v>124</v>
      </c>
      <c r="E16" s="131" t="s">
        <v>191</v>
      </c>
      <c r="F16" s="132"/>
      <c r="G16" s="132"/>
      <c r="H16" s="133" t="s">
        <v>192</v>
      </c>
      <c r="I16" s="134"/>
      <c r="J16" s="135"/>
      <c r="K16" s="132"/>
      <c r="L16" s="136"/>
      <c r="M16" s="136"/>
      <c r="N16" s="132"/>
      <c r="O16" s="137"/>
      <c r="P16" s="138"/>
      <c r="Q16" s="132"/>
    </row>
    <row r="17" spans="1:17" ht="405">
      <c r="A17" s="124" t="s">
        <v>193</v>
      </c>
      <c r="B17" s="70" t="s">
        <v>194</v>
      </c>
      <c r="C17" s="70" t="s">
        <v>96</v>
      </c>
      <c r="D17" s="39" t="s">
        <v>124</v>
      </c>
      <c r="E17" s="39" t="s">
        <v>191</v>
      </c>
      <c r="F17" s="148"/>
      <c r="G17" s="148"/>
      <c r="H17" s="149" t="s">
        <v>195</v>
      </c>
      <c r="I17" s="43"/>
      <c r="J17" s="149"/>
      <c r="K17" s="148"/>
      <c r="L17" s="150"/>
      <c r="M17" s="150"/>
      <c r="N17" s="148"/>
      <c r="O17" s="151"/>
      <c r="P17" s="34"/>
      <c r="Q17" s="148"/>
    </row>
    <row r="18" spans="1:17" ht="361.5">
      <c r="A18" s="124" t="s">
        <v>196</v>
      </c>
      <c r="B18" s="70" t="s">
        <v>197</v>
      </c>
      <c r="C18" s="70" t="s">
        <v>108</v>
      </c>
      <c r="D18" s="39" t="s">
        <v>124</v>
      </c>
      <c r="E18" s="39" t="s">
        <v>198</v>
      </c>
      <c r="F18" s="148"/>
      <c r="G18" s="148"/>
      <c r="H18" s="158" t="s">
        <v>199</v>
      </c>
      <c r="I18" s="43"/>
      <c r="J18" s="149"/>
      <c r="K18" s="148"/>
      <c r="L18" s="150"/>
      <c r="M18" s="150"/>
      <c r="N18" s="148"/>
      <c r="O18" s="151"/>
      <c r="P18" s="34"/>
      <c r="Q18" s="148"/>
    </row>
    <row r="19" spans="1:17" ht="231">
      <c r="A19" s="124" t="s">
        <v>200</v>
      </c>
      <c r="B19" s="70" t="s">
        <v>201</v>
      </c>
      <c r="C19" s="70" t="s">
        <v>96</v>
      </c>
      <c r="D19" s="39" t="s">
        <v>124</v>
      </c>
      <c r="E19" s="142" t="s">
        <v>202</v>
      </c>
      <c r="F19" s="125"/>
      <c r="G19" s="125"/>
      <c r="H19" s="125" t="s">
        <v>203</v>
      </c>
      <c r="I19" s="125"/>
      <c r="J19" s="125"/>
      <c r="K19" s="125"/>
      <c r="L19" s="125"/>
      <c r="M19" s="125"/>
      <c r="N19" s="125"/>
      <c r="O19" s="125"/>
      <c r="P19" s="125"/>
      <c r="Q19" s="125"/>
    </row>
    <row r="20" spans="1:17" ht="144.75">
      <c r="A20" s="124" t="s">
        <v>204</v>
      </c>
      <c r="B20" s="70" t="s">
        <v>205</v>
      </c>
      <c r="C20" s="70" t="s">
        <v>96</v>
      </c>
      <c r="D20" s="39" t="s">
        <v>124</v>
      </c>
      <c r="E20" s="143" t="s">
        <v>206</v>
      </c>
      <c r="F20" s="125"/>
      <c r="G20" s="125"/>
      <c r="H20" s="125" t="s">
        <v>172</v>
      </c>
      <c r="I20" s="125"/>
      <c r="J20" s="125"/>
      <c r="K20" s="125"/>
      <c r="L20" s="125"/>
      <c r="M20" s="125"/>
      <c r="N20" s="125"/>
      <c r="O20" s="125"/>
      <c r="P20" s="125"/>
      <c r="Q20" s="125"/>
    </row>
    <row r="21" spans="1:17" ht="245.25">
      <c r="A21" s="124" t="s">
        <v>207</v>
      </c>
      <c r="B21" s="70" t="s">
        <v>208</v>
      </c>
      <c r="C21" s="70" t="s">
        <v>96</v>
      </c>
      <c r="D21" s="39" t="s">
        <v>124</v>
      </c>
      <c r="E21" s="143" t="s">
        <v>187</v>
      </c>
      <c r="F21" s="125"/>
      <c r="G21" s="125"/>
      <c r="H21" s="125" t="s">
        <v>209</v>
      </c>
      <c r="I21" s="125"/>
      <c r="J21" s="125"/>
      <c r="K21" s="125"/>
      <c r="L21" s="125"/>
      <c r="M21" s="125"/>
      <c r="N21" s="125"/>
      <c r="O21" s="125"/>
      <c r="P21" s="125"/>
      <c r="Q21" s="125"/>
    </row>
    <row r="22" spans="1:17" ht="216.75">
      <c r="A22" s="124" t="s">
        <v>211</v>
      </c>
      <c r="B22" s="70" t="s">
        <v>212</v>
      </c>
      <c r="C22" s="70" t="s">
        <v>96</v>
      </c>
      <c r="D22" s="39" t="s">
        <v>124</v>
      </c>
      <c r="E22" s="125"/>
      <c r="F22" s="125"/>
      <c r="G22" s="125"/>
      <c r="H22" s="125"/>
      <c r="I22" s="125"/>
      <c r="J22" s="125"/>
      <c r="K22" s="125"/>
      <c r="L22" s="125"/>
      <c r="M22" s="125"/>
      <c r="N22" s="125"/>
      <c r="O22" s="125"/>
      <c r="P22" s="125"/>
      <c r="Q22" s="125"/>
    </row>
    <row r="23" spans="1:17" ht="361.5">
      <c r="A23" s="124" t="s">
        <v>213</v>
      </c>
      <c r="B23" s="70" t="s">
        <v>214</v>
      </c>
      <c r="C23" s="70" t="s">
        <v>96</v>
      </c>
      <c r="D23" s="39" t="s">
        <v>124</v>
      </c>
      <c r="E23" s="125"/>
      <c r="F23" s="125"/>
      <c r="G23" s="125"/>
      <c r="H23" s="125"/>
      <c r="I23" s="125"/>
      <c r="J23" s="125"/>
      <c r="K23" s="125"/>
      <c r="L23" s="125"/>
      <c r="M23" s="125"/>
      <c r="N23" s="125"/>
      <c r="O23" s="125"/>
      <c r="P23" s="125"/>
      <c r="Q23" s="125"/>
    </row>
    <row r="24" spans="1:17" ht="231">
      <c r="A24" s="126" t="s">
        <v>215</v>
      </c>
      <c r="B24" s="70" t="s">
        <v>216</v>
      </c>
      <c r="C24" s="70" t="s">
        <v>96</v>
      </c>
      <c r="D24" s="39" t="s">
        <v>109</v>
      </c>
      <c r="E24" s="125"/>
      <c r="F24" s="125"/>
      <c r="G24" s="125"/>
      <c r="H24" s="125"/>
      <c r="I24" s="125"/>
      <c r="J24" s="125"/>
      <c r="K24" s="125"/>
      <c r="L24" s="125"/>
      <c r="M24" s="125"/>
      <c r="N24" s="125"/>
      <c r="O24" s="125"/>
      <c r="P24" s="125"/>
      <c r="Q24" s="125"/>
    </row>
    <row r="25" spans="1:17" ht="288.75">
      <c r="A25" s="126" t="s">
        <v>217</v>
      </c>
      <c r="B25" s="70" t="s">
        <v>218</v>
      </c>
      <c r="C25" s="70" t="s">
        <v>96</v>
      </c>
      <c r="D25" s="39" t="s">
        <v>124</v>
      </c>
      <c r="E25" s="125"/>
      <c r="F25" s="125"/>
      <c r="G25" s="125"/>
      <c r="H25" s="125"/>
      <c r="I25" s="125"/>
      <c r="J25" s="125"/>
      <c r="K25" s="125"/>
      <c r="L25" s="125"/>
      <c r="M25" s="125"/>
      <c r="N25" s="125"/>
      <c r="O25" s="125"/>
      <c r="P25" s="125"/>
      <c r="Q25" s="125"/>
    </row>
    <row r="26" spans="1:17" ht="318">
      <c r="A26" s="126" t="s">
        <v>219</v>
      </c>
      <c r="B26" s="70" t="s">
        <v>220</v>
      </c>
      <c r="C26" s="70" t="s">
        <v>96</v>
      </c>
      <c r="D26" s="39" t="s">
        <v>124</v>
      </c>
      <c r="E26" s="125"/>
      <c r="F26" s="125"/>
      <c r="G26" s="125"/>
      <c r="H26" s="125"/>
      <c r="I26" s="125"/>
      <c r="J26" s="125"/>
      <c r="K26" s="125"/>
      <c r="L26" s="125"/>
      <c r="M26" s="125"/>
      <c r="N26" s="125"/>
      <c r="O26" s="125"/>
      <c r="P26" s="125"/>
      <c r="Q26" s="125"/>
    </row>
    <row r="27" spans="1:17" ht="201.75">
      <c r="A27" s="124" t="s">
        <v>222</v>
      </c>
      <c r="B27" s="70" t="s">
        <v>223</v>
      </c>
      <c r="C27" s="70" t="s">
        <v>96</v>
      </c>
      <c r="D27" s="39" t="s">
        <v>92</v>
      </c>
      <c r="E27" s="125"/>
      <c r="F27" s="125"/>
      <c r="G27" s="125"/>
      <c r="H27" s="125"/>
      <c r="I27" s="125"/>
      <c r="J27" s="125"/>
      <c r="K27" s="125"/>
      <c r="L27" s="125"/>
      <c r="M27" s="125"/>
      <c r="N27" s="125"/>
      <c r="O27" s="125"/>
      <c r="P27" s="156" t="s">
        <v>224</v>
      </c>
      <c r="Q27" s="125"/>
    </row>
    <row r="28" spans="1:17" ht="188.25">
      <c r="A28" s="127" t="s">
        <v>225</v>
      </c>
      <c r="B28" s="38" t="s">
        <v>226</v>
      </c>
      <c r="C28" s="38" t="s">
        <v>96</v>
      </c>
      <c r="D28" s="39" t="s">
        <v>92</v>
      </c>
      <c r="E28" s="125"/>
      <c r="F28" s="125"/>
      <c r="G28" s="125"/>
      <c r="H28" s="125"/>
      <c r="I28" s="125"/>
      <c r="J28" s="125"/>
      <c r="K28" s="125"/>
      <c r="L28" s="125"/>
      <c r="M28" s="125"/>
      <c r="N28" s="125"/>
      <c r="O28" s="125"/>
      <c r="P28" s="156" t="s">
        <v>227</v>
      </c>
      <c r="Q28" s="125"/>
    </row>
    <row r="29" spans="1:17" ht="216.75">
      <c r="A29" s="124" t="s">
        <v>228</v>
      </c>
      <c r="B29" s="70" t="s">
        <v>229</v>
      </c>
      <c r="C29" s="70" t="s">
        <v>96</v>
      </c>
      <c r="D29" s="39" t="s">
        <v>109</v>
      </c>
      <c r="E29" s="125"/>
      <c r="F29" s="125"/>
      <c r="G29" s="125"/>
      <c r="H29" s="125"/>
      <c r="I29" s="125"/>
      <c r="J29" s="125"/>
      <c r="K29" s="125"/>
      <c r="L29" s="125"/>
      <c r="M29" s="125"/>
      <c r="N29" s="125"/>
      <c r="O29" s="125"/>
      <c r="P29" s="156" t="s">
        <v>227</v>
      </c>
      <c r="Q29" s="125"/>
    </row>
    <row r="30" spans="1:17" ht="245.25">
      <c r="A30" s="124" t="s">
        <v>228</v>
      </c>
      <c r="B30" s="70" t="s">
        <v>230</v>
      </c>
      <c r="C30" s="70" t="s">
        <v>96</v>
      </c>
      <c r="D30" s="39" t="s">
        <v>92</v>
      </c>
      <c r="E30" s="125"/>
      <c r="F30" s="125"/>
      <c r="G30" s="125"/>
      <c r="H30" s="125"/>
      <c r="I30" s="125"/>
      <c r="J30" s="125"/>
      <c r="K30" s="125"/>
      <c r="L30" s="125"/>
      <c r="M30" s="125"/>
      <c r="N30" s="125"/>
      <c r="O30" s="125"/>
      <c r="P30" s="156" t="s">
        <v>227</v>
      </c>
      <c r="Q30" s="125"/>
    </row>
    <row r="31" spans="1:17" ht="231">
      <c r="A31" s="124" t="s">
        <v>228</v>
      </c>
      <c r="B31" s="70" t="s">
        <v>231</v>
      </c>
      <c r="C31" s="70" t="s">
        <v>96</v>
      </c>
      <c r="D31" s="39" t="s">
        <v>232</v>
      </c>
      <c r="E31" s="125"/>
      <c r="F31" s="125"/>
      <c r="G31" s="125"/>
      <c r="H31" s="125"/>
      <c r="I31" s="125"/>
      <c r="J31" s="125"/>
      <c r="K31" s="125"/>
      <c r="L31" s="125"/>
      <c r="M31" s="125"/>
      <c r="N31" s="125"/>
      <c r="O31" s="125"/>
      <c r="P31" s="156" t="s">
        <v>227</v>
      </c>
      <c r="Q31" s="125"/>
    </row>
    <row r="32" spans="1:17" ht="188.25">
      <c r="A32" s="124" t="s">
        <v>233</v>
      </c>
      <c r="B32" s="70" t="s">
        <v>234</v>
      </c>
      <c r="C32" s="70" t="s">
        <v>96</v>
      </c>
      <c r="D32" s="39" t="s">
        <v>124</v>
      </c>
      <c r="E32" s="125"/>
      <c r="F32" s="125"/>
      <c r="G32" s="125"/>
      <c r="H32" s="125"/>
      <c r="I32" s="125"/>
      <c r="J32" s="125"/>
      <c r="K32" s="125"/>
      <c r="L32" s="125"/>
      <c r="M32" s="125"/>
      <c r="N32" s="125"/>
      <c r="O32" s="125"/>
      <c r="P32" s="156" t="s">
        <v>235</v>
      </c>
      <c r="Q32" s="125"/>
    </row>
    <row r="33" spans="1:17" ht="245.25">
      <c r="A33" s="124" t="s">
        <v>236</v>
      </c>
      <c r="B33" s="70" t="s">
        <v>237</v>
      </c>
      <c r="C33" s="70" t="s">
        <v>96</v>
      </c>
      <c r="D33" s="39" t="s">
        <v>109</v>
      </c>
      <c r="E33" s="125"/>
      <c r="F33" s="125"/>
      <c r="G33" s="125"/>
      <c r="H33" s="125"/>
      <c r="I33" s="125"/>
      <c r="J33" s="125"/>
      <c r="K33" s="125"/>
      <c r="L33" s="125"/>
      <c r="M33" s="125"/>
      <c r="N33" s="125"/>
      <c r="O33" s="125"/>
      <c r="P33" s="125"/>
      <c r="Q33" s="125"/>
    </row>
    <row r="34" spans="1:17" ht="245.25">
      <c r="A34" s="123" t="s">
        <v>238</v>
      </c>
      <c r="B34" s="38" t="s">
        <v>239</v>
      </c>
      <c r="C34" s="38" t="s">
        <v>96</v>
      </c>
      <c r="D34" s="39" t="s">
        <v>109</v>
      </c>
      <c r="E34" s="125"/>
      <c r="F34" s="125"/>
      <c r="G34" s="125"/>
      <c r="H34" s="125"/>
      <c r="I34" s="125"/>
      <c r="J34" s="125"/>
      <c r="K34" s="125"/>
      <c r="L34" s="125"/>
      <c r="M34" s="125"/>
      <c r="N34" s="125"/>
      <c r="O34" s="125"/>
      <c r="P34" s="156" t="s">
        <v>227</v>
      </c>
      <c r="Q34" s="125"/>
    </row>
  </sheetData>
  <dataValidations count="4">
    <dataValidation type="list" allowBlank="1" showInputMessage="1" showErrorMessage="1" sqref="I2:I18" xr:uid="{D4F0915E-A6CF-4C22-B3C6-E9689CA34F44}">
      <formula1>"Business Case,Invoice costs,Staff costs,Vendor quote,Other"</formula1>
    </dataValidation>
    <dataValidation type="list" allowBlank="1" showInputMessage="1" showErrorMessage="1" sqref="C8:C11 C2:C5 C14:C18" xr:uid="{B2768572-F6F2-4ECD-86B4-B9F453C4902F}">
      <formula1>"Statewide,Hospital,Regional"</formula1>
    </dataValidation>
    <dataValidation allowBlank="1" showInputMessage="1" showErrorMessage="1" sqref="B8:B11 B2:B5 E2:E18 O2:P18 B14:B18" xr:uid="{09672189-C590-4242-A72B-0F4F40EC9806}"/>
    <dataValidation type="list" allowBlank="1" showInputMessage="1" showErrorMessage="1" sqref="D2:D34" xr:uid="{C73D7636-CC7F-4186-9548-DABF4BA38CB2}">
      <formula1>"Clinical Service Redesign,Transfers and Transport,Shared Purchasing,Information Technology,Workforce,Other"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9"/>
  <sheetViews>
    <sheetView zoomScaleNormal="100" workbookViewId="0">
      <selection sqref="A1:I2"/>
    </sheetView>
  </sheetViews>
  <sheetFormatPr defaultColWidth="8.85546875" defaultRowHeight="18.75" customHeight="1"/>
  <cols>
    <col min="1" max="1" width="11.42578125" style="3" customWidth="1"/>
    <col min="2" max="2" width="19.85546875" style="3" customWidth="1"/>
    <col min="3" max="3" width="19" style="3" customWidth="1"/>
    <col min="4" max="4" width="55.42578125" style="3" customWidth="1"/>
    <col min="5" max="5" width="39.85546875" style="3" customWidth="1"/>
    <col min="6" max="6" width="40.42578125" style="3" customWidth="1"/>
    <col min="7" max="7" width="25.85546875" style="3" customWidth="1"/>
    <col min="8" max="8" width="20.85546875" style="3" customWidth="1"/>
    <col min="9" max="9" width="42.85546875" style="3" customWidth="1"/>
    <col min="10" max="10" width="8.5703125" style="3" customWidth="1"/>
    <col min="11" max="16384" width="8.85546875" style="3"/>
  </cols>
  <sheetData>
    <row r="1" spans="1:17" s="2" customFormat="1" ht="55.35" customHeight="1">
      <c r="A1" s="5" t="s">
        <v>240</v>
      </c>
      <c r="B1" s="1" t="s">
        <v>241</v>
      </c>
      <c r="C1" s="1" t="s">
        <v>242</v>
      </c>
      <c r="D1" s="1" t="s">
        <v>243</v>
      </c>
      <c r="E1" s="1" t="s">
        <v>244</v>
      </c>
      <c r="F1" s="6" t="s">
        <v>245</v>
      </c>
      <c r="G1" s="1" t="s">
        <v>246</v>
      </c>
      <c r="H1" s="1" t="s">
        <v>247</v>
      </c>
      <c r="I1" s="7" t="s">
        <v>248</v>
      </c>
    </row>
    <row r="2" spans="1:17" s="9" customFormat="1" ht="114" customHeight="1">
      <c r="A2" s="61" t="s">
        <v>249</v>
      </c>
      <c r="B2" s="30" t="s">
        <v>250</v>
      </c>
      <c r="C2" s="52" t="s">
        <v>251</v>
      </c>
      <c r="D2" s="31" t="s">
        <v>252</v>
      </c>
      <c r="E2" s="29" t="s">
        <v>253</v>
      </c>
      <c r="F2" s="29" t="s">
        <v>254</v>
      </c>
      <c r="G2" s="32" t="s">
        <v>255</v>
      </c>
      <c r="H2" s="34" t="s">
        <v>256</v>
      </c>
      <c r="I2" s="33" t="s">
        <v>257</v>
      </c>
      <c r="J2" s="2"/>
      <c r="K2" s="2"/>
      <c r="L2" s="2"/>
      <c r="M2" s="2"/>
      <c r="N2" s="2"/>
      <c r="O2" s="2"/>
      <c r="P2" s="2"/>
      <c r="Q2" s="2"/>
    </row>
    <row r="3" spans="1:17" s="9" customFormat="1" ht="47.45" customHeight="1">
      <c r="A3" s="48" t="s">
        <v>258</v>
      </c>
      <c r="B3" s="48"/>
      <c r="C3" s="48"/>
      <c r="D3" s="48"/>
      <c r="E3" s="49"/>
      <c r="F3" s="50"/>
      <c r="G3" s="48"/>
      <c r="H3" s="48"/>
      <c r="I3" s="46"/>
      <c r="J3" s="2"/>
      <c r="K3" s="2"/>
      <c r="L3" s="2"/>
      <c r="M3" s="2"/>
      <c r="N3" s="2"/>
      <c r="O3" s="2"/>
      <c r="P3" s="2"/>
      <c r="Q3" s="2"/>
    </row>
    <row r="4" spans="1:17" s="9" customFormat="1" ht="47.45" customHeight="1">
      <c r="A4" s="48" t="s">
        <v>259</v>
      </c>
      <c r="B4" s="48"/>
      <c r="C4" s="48"/>
      <c r="D4" s="48"/>
      <c r="E4" s="49"/>
      <c r="F4" s="50"/>
      <c r="G4" s="48"/>
      <c r="H4" s="48"/>
      <c r="I4" s="46"/>
    </row>
    <row r="5" spans="1:17" ht="18"/>
    <row r="9" spans="1:17" s="4" customFormat="1" ht="104.25" customHeight="1">
      <c r="A9" s="163" t="s">
        <v>260</v>
      </c>
      <c r="B9" s="163"/>
      <c r="C9" s="163"/>
      <c r="D9" s="163"/>
      <c r="E9" s="163"/>
      <c r="F9" s="163"/>
    </row>
  </sheetData>
  <mergeCells count="1">
    <mergeCell ref="A9:F9"/>
  </mergeCells>
  <dataValidations count="4">
    <dataValidation type="list" allowBlank="1" showInputMessage="1" showErrorMessage="1" sqref="G2:G4" xr:uid="{A0615E9F-3DCD-4FAA-9DAE-D98946827056}">
      <formula1>"Low,Medium,High"</formula1>
    </dataValidation>
    <dataValidation type="list" allowBlank="1" showInputMessage="1" showErrorMessage="1" sqref="I2:I4" xr:uid="{FC6CB2DC-4B6E-46D2-97BA-D76BBF2B9896}">
      <formula1>"Open,Monitoring,Mitigated,Closed"</formula1>
    </dataValidation>
    <dataValidation type="list" allowBlank="1" showInputMessage="1" showErrorMessage="1" sqref="B2:C4" xr:uid="{E455AD5F-B350-44C8-8941-C213287E425D}">
      <formula1>"Work Force, Acess to Care, Quality of Care, Financial Stability, Risk to area residents,Legal,Regulatory,Other"</formula1>
    </dataValidation>
    <dataValidation type="list" allowBlank="1" showInputMessage="1" showErrorMessage="1" sqref="H2:H4"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sheetPr>
    <pageSetUpPr fitToPage="1"/>
  </sheetPr>
  <dimension ref="A1:J24"/>
  <sheetViews>
    <sheetView workbookViewId="0">
      <selection sqref="A1:H3"/>
    </sheetView>
  </sheetViews>
  <sheetFormatPr defaultColWidth="8.85546875" defaultRowHeight="29.25" customHeight="1"/>
  <cols>
    <col min="1" max="1" width="15.42578125" style="47" customWidth="1"/>
    <col min="2" max="2" width="31.5703125" style="47" customWidth="1"/>
    <col min="3" max="3" width="29.85546875" style="47" customWidth="1"/>
    <col min="4" max="5" width="36.5703125" style="47" customWidth="1"/>
    <col min="6" max="6" width="34.42578125" style="47" customWidth="1"/>
    <col min="7" max="7" width="27.5703125" style="47" customWidth="1"/>
    <col min="8" max="8" width="32.42578125" style="47" customWidth="1"/>
    <col min="9" max="16384" width="8.85546875" style="47"/>
  </cols>
  <sheetData>
    <row r="1" spans="1:10" s="9" customFormat="1" ht="34.5" customHeight="1">
      <c r="A1" s="8" t="s">
        <v>261</v>
      </c>
      <c r="B1" s="7" t="s">
        <v>262</v>
      </c>
      <c r="C1" s="8" t="s">
        <v>263</v>
      </c>
      <c r="D1" s="8" t="s">
        <v>264</v>
      </c>
      <c r="E1" s="7" t="s">
        <v>265</v>
      </c>
      <c r="F1" s="7" t="s">
        <v>266</v>
      </c>
      <c r="G1" s="7" t="s">
        <v>267</v>
      </c>
      <c r="H1" s="8" t="s">
        <v>268</v>
      </c>
    </row>
    <row r="2" spans="1:10" s="9" customFormat="1" ht="29.25" customHeight="1">
      <c r="A2" s="46" t="s">
        <v>269</v>
      </c>
      <c r="B2" s="46"/>
      <c r="C2" s="46"/>
      <c r="D2" s="46"/>
      <c r="E2" s="46"/>
      <c r="F2" s="46"/>
      <c r="G2" s="46"/>
      <c r="H2" s="46"/>
    </row>
    <row r="3" spans="1:10" s="9" customFormat="1" ht="29.25" customHeight="1">
      <c r="A3" s="46" t="s">
        <v>270</v>
      </c>
      <c r="B3" s="46"/>
      <c r="C3" s="46"/>
      <c r="D3" s="46"/>
      <c r="E3" s="46"/>
      <c r="F3" s="46"/>
      <c r="G3" s="46"/>
      <c r="H3" s="46"/>
    </row>
    <row r="4" spans="1:10" s="9" customFormat="1" ht="29.25" customHeight="1">
      <c r="A4" s="46"/>
      <c r="B4" s="46"/>
      <c r="C4" s="46"/>
      <c r="D4" s="46"/>
      <c r="E4" s="46"/>
      <c r="F4" s="46"/>
      <c r="G4" s="46"/>
      <c r="H4" s="46"/>
    </row>
    <row r="5" spans="1:10" s="9" customFormat="1" ht="29.25" customHeight="1">
      <c r="A5" s="46"/>
      <c r="B5" s="46"/>
      <c r="C5" s="46"/>
      <c r="D5" s="46"/>
      <c r="E5" s="46"/>
      <c r="F5" s="46"/>
      <c r="G5" s="46"/>
      <c r="H5" s="46"/>
    </row>
    <row r="6" spans="1:10" s="9" customFormat="1" ht="29.25" customHeight="1">
      <c r="A6" s="46"/>
      <c r="B6" s="46"/>
      <c r="C6" s="46"/>
      <c r="D6" s="46"/>
      <c r="E6" s="46"/>
      <c r="F6" s="46"/>
      <c r="G6" s="46"/>
      <c r="H6" s="46"/>
    </row>
    <row r="7" spans="1:10" s="9" customFormat="1" ht="29.25" customHeight="1">
      <c r="A7" s="46"/>
      <c r="B7" s="46"/>
      <c r="C7" s="46"/>
      <c r="D7" s="46"/>
      <c r="E7" s="46"/>
      <c r="F7" s="46"/>
      <c r="G7" s="46"/>
      <c r="H7" s="46"/>
    </row>
    <row r="8" spans="1:10" s="9" customFormat="1" ht="29.25" customHeight="1">
      <c r="A8" s="46"/>
      <c r="B8" s="46"/>
      <c r="C8" s="46"/>
      <c r="D8" s="46"/>
      <c r="E8" s="46"/>
      <c r="F8" s="46"/>
      <c r="G8" s="46"/>
      <c r="H8" s="46"/>
    </row>
    <row r="13" spans="1:10" ht="29.25" customHeight="1">
      <c r="A13" s="163" t="s">
        <v>271</v>
      </c>
      <c r="B13" s="163"/>
      <c r="C13" s="163"/>
      <c r="D13" s="163"/>
      <c r="E13" s="163"/>
      <c r="F13" s="163"/>
      <c r="G13" s="163"/>
      <c r="H13" s="163"/>
      <c r="I13" s="163"/>
      <c r="J13" s="163"/>
    </row>
    <row r="24" spans="1:2" ht="29.25" customHeight="1">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pageSetup fitToWidth="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1FAF-F50F-4409-A8F9-01FAA42D4FAA}">
  <dimension ref="B3:C19"/>
  <sheetViews>
    <sheetView workbookViewId="0">
      <selection activeCell="E8" sqref="E8"/>
    </sheetView>
  </sheetViews>
  <sheetFormatPr defaultRowHeight="14.25"/>
  <cols>
    <col min="2" max="2" width="24.42578125" customWidth="1"/>
    <col min="3" max="3" width="76.5703125" customWidth="1"/>
    <col min="4" max="4" width="26.28515625" customWidth="1"/>
  </cols>
  <sheetData>
    <row r="3" spans="2:3" ht="15">
      <c r="B3" s="66" t="s">
        <v>272</v>
      </c>
      <c r="C3" s="66" t="s">
        <v>273</v>
      </c>
    </row>
    <row r="4" spans="2:3" s="64" customFormat="1">
      <c r="B4" s="65" t="s">
        <v>78</v>
      </c>
      <c r="C4" s="65" t="s">
        <v>274</v>
      </c>
    </row>
    <row r="5" spans="2:3" s="64" customFormat="1">
      <c r="B5" s="67" t="s">
        <v>79</v>
      </c>
      <c r="C5" s="67" t="s">
        <v>275</v>
      </c>
    </row>
    <row r="6" spans="2:3" s="64" customFormat="1" ht="99.75">
      <c r="B6" s="68" t="s">
        <v>80</v>
      </c>
      <c r="C6" s="68" t="s">
        <v>276</v>
      </c>
    </row>
    <row r="7" spans="2:3" s="64" customFormat="1" ht="42.75">
      <c r="B7" s="67" t="s">
        <v>81</v>
      </c>
      <c r="C7" s="67" t="s">
        <v>64</v>
      </c>
    </row>
    <row r="8" spans="2:3" s="64" customFormat="1" ht="28.5">
      <c r="B8" s="65" t="s">
        <v>82</v>
      </c>
      <c r="C8" s="65" t="s">
        <v>65</v>
      </c>
    </row>
    <row r="9" spans="2:3" s="64" customFormat="1">
      <c r="B9" s="67" t="s">
        <v>83</v>
      </c>
      <c r="C9" s="67" t="s">
        <v>66</v>
      </c>
    </row>
    <row r="10" spans="2:3" s="64" customFormat="1" ht="18.75" customHeight="1">
      <c r="B10" s="68" t="s">
        <v>84</v>
      </c>
      <c r="C10" s="68" t="s">
        <v>277</v>
      </c>
    </row>
    <row r="11" spans="2:3" s="64" customFormat="1" ht="28.5">
      <c r="B11" s="67" t="s">
        <v>85</v>
      </c>
      <c r="C11" s="67" t="s">
        <v>278</v>
      </c>
    </row>
    <row r="12" spans="2:3" s="64" customFormat="1" ht="18.75" customHeight="1">
      <c r="B12" s="68" t="s">
        <v>86</v>
      </c>
      <c r="C12" s="68" t="s">
        <v>69</v>
      </c>
    </row>
    <row r="13" spans="2:3" s="64" customFormat="1" ht="28.5">
      <c r="B13" s="67" t="s">
        <v>87</v>
      </c>
      <c r="C13" s="67" t="s">
        <v>70</v>
      </c>
    </row>
    <row r="14" spans="2:3" s="64" customFormat="1">
      <c r="B14" s="65" t="s">
        <v>279</v>
      </c>
      <c r="C14" s="65" t="s">
        <v>71</v>
      </c>
    </row>
    <row r="15" spans="2:3" s="64" customFormat="1">
      <c r="B15" s="67" t="s">
        <v>89</v>
      </c>
      <c r="C15" s="67" t="s">
        <v>72</v>
      </c>
    </row>
    <row r="16" spans="2:3" s="64" customFormat="1">
      <c r="B16" s="65" t="s">
        <v>90</v>
      </c>
      <c r="C16" s="65" t="s">
        <v>73</v>
      </c>
    </row>
    <row r="17" spans="2:3" s="64" customFormat="1">
      <c r="B17" s="69" t="s">
        <v>91</v>
      </c>
      <c r="C17" s="69" t="s">
        <v>74</v>
      </c>
    </row>
    <row r="18" spans="2:3" s="64" customFormat="1">
      <c r="B18" s="65" t="s">
        <v>92</v>
      </c>
      <c r="C18" s="65" t="s">
        <v>75</v>
      </c>
    </row>
    <row r="19" spans="2:3" s="64" customFormat="1">
      <c r="B19" s="67" t="s">
        <v>93</v>
      </c>
      <c r="C19" s="67" t="s">
        <v>280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4947-19A1-4AC3-BF29-50EFC29A6D64}">
  <dimension ref="C3:E24"/>
  <sheetViews>
    <sheetView topLeftCell="A10" workbookViewId="0">
      <selection activeCell="E24" sqref="C3:E24"/>
    </sheetView>
  </sheetViews>
  <sheetFormatPr defaultRowHeight="14.25"/>
  <cols>
    <col min="3" max="3" width="30" customWidth="1"/>
    <col min="4" max="4" width="65.42578125" customWidth="1"/>
    <col min="5" max="5" width="22" bestFit="1" customWidth="1"/>
  </cols>
  <sheetData>
    <row r="3" spans="3:5" s="64" customFormat="1" ht="15">
      <c r="C3" s="71" t="s">
        <v>281</v>
      </c>
      <c r="D3" s="71" t="s">
        <v>282</v>
      </c>
      <c r="E3" s="71" t="s">
        <v>283</v>
      </c>
    </row>
    <row r="4" spans="3:5" s="64" customFormat="1" ht="28.5">
      <c r="C4" s="65" t="s">
        <v>181</v>
      </c>
      <c r="D4" s="65" t="s">
        <v>182</v>
      </c>
      <c r="E4" s="65" t="s">
        <v>124</v>
      </c>
    </row>
    <row r="5" spans="3:5" s="64" customFormat="1" ht="28.5">
      <c r="C5" s="67" t="s">
        <v>185</v>
      </c>
      <c r="D5" s="67" t="s">
        <v>186</v>
      </c>
      <c r="E5" s="67" t="s">
        <v>124</v>
      </c>
    </row>
    <row r="6" spans="3:5" s="64" customFormat="1" ht="28.5">
      <c r="C6" s="65" t="s">
        <v>189</v>
      </c>
      <c r="D6" s="65" t="s">
        <v>284</v>
      </c>
      <c r="E6" s="65" t="s">
        <v>124</v>
      </c>
    </row>
    <row r="7" spans="3:5" s="64" customFormat="1" ht="28.5">
      <c r="C7" s="67" t="s">
        <v>193</v>
      </c>
      <c r="D7" s="67" t="s">
        <v>285</v>
      </c>
      <c r="E7" s="67" t="s">
        <v>124</v>
      </c>
    </row>
    <row r="8" spans="3:5" s="64" customFormat="1" ht="28.5">
      <c r="C8" s="65" t="s">
        <v>286</v>
      </c>
      <c r="D8" s="65" t="s">
        <v>287</v>
      </c>
      <c r="E8" s="65" t="s">
        <v>124</v>
      </c>
    </row>
    <row r="9" spans="3:5" s="64" customFormat="1">
      <c r="C9" s="65"/>
      <c r="D9" s="65"/>
      <c r="E9" s="65"/>
    </row>
    <row r="10" spans="3:5" s="64" customFormat="1" ht="28.5">
      <c r="C10" s="67" t="s">
        <v>200</v>
      </c>
      <c r="D10" s="67" t="s">
        <v>201</v>
      </c>
      <c r="E10" s="67" t="s">
        <v>124</v>
      </c>
    </row>
    <row r="11" spans="3:5" s="64" customFormat="1">
      <c r="C11" s="65" t="s">
        <v>204</v>
      </c>
      <c r="D11" s="65" t="s">
        <v>205</v>
      </c>
      <c r="E11" s="65" t="s">
        <v>124</v>
      </c>
    </row>
    <row r="12" spans="3:5" s="64" customFormat="1" ht="28.5">
      <c r="C12" s="67" t="s">
        <v>207</v>
      </c>
      <c r="D12" s="67" t="s">
        <v>288</v>
      </c>
      <c r="E12" s="67" t="s">
        <v>124</v>
      </c>
    </row>
    <row r="13" spans="3:5" s="64" customFormat="1" ht="28.5">
      <c r="C13" s="65" t="s">
        <v>289</v>
      </c>
      <c r="D13" s="65" t="s">
        <v>290</v>
      </c>
      <c r="E13" s="65" t="s">
        <v>124</v>
      </c>
    </row>
    <row r="14" spans="3:5" s="64" customFormat="1">
      <c r="C14" s="67" t="s">
        <v>291</v>
      </c>
      <c r="D14" s="67" t="s">
        <v>290</v>
      </c>
      <c r="E14" s="67" t="s">
        <v>124</v>
      </c>
    </row>
    <row r="15" spans="3:5" s="64" customFormat="1" ht="42.75">
      <c r="C15" s="65" t="s">
        <v>135</v>
      </c>
      <c r="D15" s="65" t="s">
        <v>292</v>
      </c>
      <c r="E15" s="65" t="s">
        <v>137</v>
      </c>
    </row>
    <row r="16" spans="3:5" s="64" customFormat="1" ht="28.5">
      <c r="C16" s="67" t="s">
        <v>293</v>
      </c>
      <c r="D16" s="67" t="s">
        <v>239</v>
      </c>
      <c r="E16" s="67" t="s">
        <v>109</v>
      </c>
    </row>
    <row r="17" spans="3:5" s="64" customFormat="1">
      <c r="C17" s="65" t="s">
        <v>294</v>
      </c>
      <c r="D17" s="65" t="s">
        <v>295</v>
      </c>
      <c r="E17" s="65" t="s">
        <v>109</v>
      </c>
    </row>
    <row r="18" spans="3:5" s="64" customFormat="1" ht="28.5">
      <c r="C18" s="67" t="s">
        <v>296</v>
      </c>
      <c r="D18" s="67" t="s">
        <v>229</v>
      </c>
      <c r="E18" s="67" t="s">
        <v>109</v>
      </c>
    </row>
    <row r="19" spans="3:5" s="64" customFormat="1" ht="28.5">
      <c r="C19" s="65" t="s">
        <v>296</v>
      </c>
      <c r="D19" s="65" t="s">
        <v>230</v>
      </c>
      <c r="E19" s="65" t="s">
        <v>109</v>
      </c>
    </row>
    <row r="20" spans="3:5" s="64" customFormat="1">
      <c r="C20" s="67" t="s">
        <v>297</v>
      </c>
      <c r="D20" s="67" t="s">
        <v>170</v>
      </c>
      <c r="E20" s="67" t="s">
        <v>109</v>
      </c>
    </row>
    <row r="21" spans="3:5" s="64" customFormat="1" ht="42.75">
      <c r="C21" s="65" t="s">
        <v>298</v>
      </c>
      <c r="D21" s="65" t="s">
        <v>177</v>
      </c>
      <c r="E21" s="65" t="s">
        <v>109</v>
      </c>
    </row>
    <row r="22" spans="3:5" s="64" customFormat="1" ht="42.75">
      <c r="C22" s="67" t="s">
        <v>299</v>
      </c>
      <c r="D22" s="67" t="s">
        <v>300</v>
      </c>
      <c r="E22" s="67" t="s">
        <v>97</v>
      </c>
    </row>
    <row r="23" spans="3:5" s="64" customFormat="1" ht="28.5">
      <c r="C23" s="65" t="s">
        <v>225</v>
      </c>
      <c r="D23" s="65" t="s">
        <v>226</v>
      </c>
      <c r="E23" s="65" t="s">
        <v>92</v>
      </c>
    </row>
    <row r="24" spans="3:5" s="64" customFormat="1">
      <c r="C24" s="67" t="s">
        <v>222</v>
      </c>
      <c r="D24" s="67" t="s">
        <v>290</v>
      </c>
      <c r="E24" s="67" t="s">
        <v>92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73WRFNMZF6N2-353167544-4636</_dlc_DocId>
    <_dlc_DocIdUrl xmlns="c89e416c-4c29-47f7-9a79-f2bb4fe9a69b">
      <Url>https://vermontgov.sharepoint.com/teams/AHS-COHealthCareReformTeam/_layouts/15/DocIdRedir.aspx?ID=73WRFNMZF6N2-353167544-4636</Url>
      <Description>73WRFNMZF6N2-353167544-4636</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348224-27EA-49DF-A83C-8E5968D7A878}"/>
</file>

<file path=customXml/itemProps2.xml><?xml version="1.0" encoding="utf-8"?>
<ds:datastoreItem xmlns:ds="http://schemas.openxmlformats.org/officeDocument/2006/customXml" ds:itemID="{60CE1BC1-639F-4D06-885D-1C2B20D17F7E}"/>
</file>

<file path=customXml/itemProps3.xml><?xml version="1.0" encoding="utf-8"?>
<ds:datastoreItem xmlns:ds="http://schemas.openxmlformats.org/officeDocument/2006/customXml" ds:itemID="{BCE64B08-F34E-458C-A905-F0FA03EEB7A5}"/>
</file>

<file path=customXml/itemProps4.xml><?xml version="1.0" encoding="utf-8"?>
<ds:datastoreItem xmlns:ds="http://schemas.openxmlformats.org/officeDocument/2006/customXml" ds:itemID="{4CBEB823-B728-4293-B2DF-29DFA34612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Just, Erin</cp:lastModifiedBy>
  <cp:revision/>
  <dcterms:created xsi:type="dcterms:W3CDTF">2025-10-30T14:43:30Z</dcterms:created>
  <dcterms:modified xsi:type="dcterms:W3CDTF">2026-02-18T15:49:39Z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9e3ae34a-a9d4-426a-873d-2fd21b56162f</vt:lpwstr>
  </property>
  <property fmtid="{D5CDD505-2E9C-101B-9397-08002B2CF9AE}" pid="4" name="MediaServiceImageTags">
    <vt:lpwstr/>
  </property>
</Properties>
</file>