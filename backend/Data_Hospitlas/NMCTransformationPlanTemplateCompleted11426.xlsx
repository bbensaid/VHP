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nmcvt-my.sharepoint.com/personal/jbillings_nmcinc_org/Documents/My Documents/"/>
    </mc:Choice>
  </mc:AlternateContent>
  <xr:revisionPtr revIDLastSave="0" documentId="8_{7F13F0B6-05E2-443A-912D-9D408A5FFBB6}" xr6:coauthVersionLast="47" xr6:coauthVersionMax="47" xr10:uidLastSave="{00000000-0000-0000-0000-000000000000}"/>
  <bookViews>
    <workbookView xWindow="28680" yWindow="-120" windowWidth="29040" windowHeight="15720" firstSheet="1"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<sst xmlns="http://schemas.openxmlformats.org/spreadsheetml/2006/main" count="291" uniqueCount="244">
  <si>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</si>
  <si>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</si>
  <si>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</si>
  <si>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</si>
  <si>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</si>
  <si>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</si>
  <si>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</si>
  <si>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family val="2"/>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</si>
  <si>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</si>
  <si>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</si>
  <si>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</si>
  <si>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</si>
  <si>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</si>
  <si>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</si>
  <si>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family val="2"/>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</si>
  <si>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</si>
  <si>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family val="2"/>
      </rPr>
      <t>​</t>
    </r>
    <r>
      <rPr>
        <sz val="11"/>
        <rFont val="Aptos"/>
        <family val="2"/>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</si>
  <si>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</si>
  <si>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</si>
  <si>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</si>
  <si>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</si>
  <si>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</si>
  <si>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</si>
  <si>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</si>
  <si>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</si>
  <si>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</si>
  <si>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</si>
  <si>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</si>
  <si>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</si>
  <si>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</si>
  <si>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</si>
  <si>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</si>
  <si>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</si>
  <si>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</si>
  <si>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 xml:space="preserve">Northwestern Medical Center, Inc. </t>
  </si>
  <si>
    <t>County</t>
  </si>
  <si>
    <t>Franklin</t>
  </si>
  <si>
    <t>TIN</t>
  </si>
  <si>
    <t>03-0266986</t>
  </si>
  <si>
    <t>CCN</t>
  </si>
  <si>
    <t>47-0024</t>
  </si>
  <si>
    <t>Hospital Number</t>
  </si>
  <si>
    <t>Chief Executive Officer</t>
  </si>
  <si>
    <t>Jonathan Billings</t>
  </si>
  <si>
    <t>Senior Clinical Lead</t>
  </si>
  <si>
    <t>Dr. John Minadeo &amp; Michelle Buck</t>
  </si>
  <si>
    <t>Senior Finance Lead</t>
  </si>
  <si>
    <t>Stephanie Breault</t>
  </si>
  <si>
    <t>Senior Operations Lead</t>
  </si>
  <si>
    <t>Other Senior Leadership</t>
  </si>
  <si>
    <t>Wayne Hobbs &amp; Lorraine Jenne</t>
  </si>
  <si>
    <t>Transformation Champion (who will own this work)</t>
  </si>
  <si>
    <t>Type of Hospital (PPS or CAH)</t>
  </si>
  <si>
    <t>PPS</t>
  </si>
  <si>
    <t>Hospital ownership (independent or system)</t>
  </si>
  <si>
    <t>Independent</t>
  </si>
  <si>
    <t>Number of hospital staffed beds</t>
  </si>
  <si>
    <t>Electronic health record system</t>
  </si>
  <si>
    <t>Meditech</t>
  </si>
  <si>
    <t xml:space="preserve">Transformation Goal                          (hospital, regional, statewide)                              </t>
  </si>
  <si>
    <t>Does this goal focus on hospital or regional objectives                              DROP DOWN</t>
  </si>
  <si>
    <t>Does this goal focus on one of the following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</si>
  <si>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</si>
  <si>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 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</si>
  <si>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</si>
  <si>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</si>
  <si>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</si>
  <si>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</si>
  <si>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</si>
  <si>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</si>
  <si>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</si>
  <si>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</si>
  <si>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</si>
  <si>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</si>
  <si>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additional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</si>
  <si>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</si>
  <si>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</si>
  <si>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</si>
  <si>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</si>
  <si>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</si>
  <si>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</si>
  <si>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</si>
  <si>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</si>
  <si>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</si>
  <si>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</si>
  <si>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</si>
  <si>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</si>
  <si>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</si>
  <si>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</si>
  <si>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</si>
  <si>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</si>
  <si>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r>
      <rPr>
        <u/>
        <sz val="11"/>
        <color theme="3" tint="0.249977111117893"/>
        <rFont val="Aptos Narrow"/>
        <family val="2"/>
        <scheme val="minor"/>
      </rPr>
      <t>EXAMPLE:</t>
    </r>
    <r>
      <rPr>
        <sz val="11"/>
        <color theme="3" tint="0.249977111117893"/>
        <rFont val="Aptos Narrow"/>
        <family val="2"/>
        <scheme val="minor"/>
      </rPr>
      <t xml:space="preserve"> Implement hospital capacity management strategy.</t>
    </r>
  </si>
  <si>
    <t>Hospital</t>
  </si>
  <si>
    <t>Transfers and Transport</t>
  </si>
  <si>
    <t xml:space="preserve">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Implement technology, workflows, training, and staffing models identified for hospital focused interventions (Stand up hospital capacity management and transfer team, Complete Emergency Department Triage Redesign, Implement 24/48 hour discharge dashboards)
5.	Participate in statewide pulse check calls with tertiary facilities. 
6.	Work with Primary Care and other community partners to divert non-emergency care to lower intensity settings as appropriate.
7.	Monitor key indicators and adapt/adopt processes as required. 
</t>
  </si>
  <si>
    <t xml:space="preserve">Patients
Hospital Staff (Physicians/Providers, Nurses, Allied Health, Support Staff)
Local Residential Care 
Home Health and Hospice
Mobile Integrated Health
Hospital Leadership and Administration
Local EMS Providers
UVMMC/DH Transfer Centers
</t>
  </si>
  <si>
    <t xml:space="preserve">Formed stakeholder committee
Conducted Hospital Staff Surveys
Engaged Patient and Family Advisory Committee
</t>
  </si>
  <si>
    <t xml:space="preserve">•	ED Boarding Times (target &lt;= 4hrs)
•	Inpatient Bed Occupancy Rate (target: 80-85%)
•	Percentage of daily discharges before 11am (target: 25-30%)
•	Avg length of stay by service line
•	Avg time from transfer request to acceptance
•	Avg time from acceptance to patient arrival
•	Percentage of transfers accepted or denied
</t>
  </si>
  <si>
    <t>Morgan Smith</t>
  </si>
  <si>
    <t>Cost to implement includes estimate for software system upgrades, staffing and training, and integration with local EMS</t>
  </si>
  <si>
    <t xml:space="preserve">Transition OBGYN care (outpatient clinic and labor &amp; delivery) from hospital owned to private practice to stabilize and grow labor &amp; delivery services in the region to provide more care locally, improving hospital sustainability and affordability. </t>
  </si>
  <si>
    <t>Regional</t>
  </si>
  <si>
    <t>Clinical Service Redesign</t>
  </si>
  <si>
    <t xml:space="preserve">1. Establish the initial stakeholder group (group will evolve over time). 2. Engage third parties for FMV analysis and legal framework. 3. Develop and implement a phased implementation approach, mutually agreeable to both parties - EXAMPLE: Phase I, the private practice providers staff the outpatient OBGYN clinic at NMC and provides business hour coverage of NMC's labor &amp; delivery unit. Phase II, the private practice employs the clinic staff and assumes billing and collections while continuing to provide business hour coverage of NMC's labor &amp; delivery unit. Phase III, the private practice provides 24/7/365 coverage of NMC's labor &amp; delivery unit. 4. Develop communication plan for community and hospital. </t>
  </si>
  <si>
    <t>Patients, Hospital Leadership and Providers and Staff, Private Practice Leadership and Staff</t>
  </si>
  <si>
    <t xml:space="preserve">Meetings between NMC and private practice are currently in process. </t>
  </si>
  <si>
    <t>TBD</t>
  </si>
  <si>
    <t>Business Case</t>
  </si>
  <si>
    <t>Reduction in locum tenens physician spend, reduced clinic expenses, and potential increased birth rates at the hospital.</t>
  </si>
  <si>
    <t>Phase I start date - 4/1/26.</t>
  </si>
  <si>
    <t>Fully implemented model completion date - 4/1/28.</t>
  </si>
  <si>
    <t>Hobbs</t>
  </si>
  <si>
    <t xml:space="preserve">Yes - NMC has been unable to recruit OBGYN physicians in recent years, resulting in a reliance on locums. Transitioning the service to a private practice that has been very successful in recruiting new providers will bring stability and reliability. </t>
  </si>
  <si>
    <t xml:space="preserve">Develop St. Albans based Oncology care program in partnership with UVMMC to provide more care locally, improving access and affordability. </t>
  </si>
  <si>
    <t xml:space="preserve">1. Establish the initial stakeholder group (group will evolve over time). 2. Engage third parties for FMV analysis and legal framework. 3. Develop an implementation plan, mutually agreeable to both parties. 4. Develop communication plan for community and hospital. </t>
  </si>
  <si>
    <t>Patients, Hospital Leadership and Providers and Staff (Both Hospitals)</t>
  </si>
  <si>
    <t xml:space="preserve">Meetings between NMC and UVMMC are currently in process. </t>
  </si>
  <si>
    <t>Savings will occur when patients currently seeking care at UVM seek that care at NMC.  Amount TBD.</t>
  </si>
  <si>
    <t># of patients who seek care at NMC once the clinic is established and financial reporting demonstrating financial viability.</t>
  </si>
  <si>
    <t>As Vermont's lowest cost hospital, this program should be sustainable as long as NMC's volumes stabilize and grow after the creation of the new oncology clinic. Continued collaboration and access to clinical trials at UVM will be an important part of the growth and sustainability of the practice.</t>
  </si>
  <si>
    <t xml:space="preserve">Yes - NMC has not owned or operated Oncology care services before. We will need to work with UVMMC to recruit providers and certified staff. </t>
  </si>
  <si>
    <t xml:space="preserve">Increase outpatient surgical capacity 50% from current levels to provide more care locally, improving hospital sustainability and Vermont healthcare system affordability. </t>
  </si>
  <si>
    <t xml:space="preserve">1. Establish the initial stakeholder group (group will evolve over time). 2. Engage with architect to create a space plan and timeline for increased surgical capacity (determine if this is a CON level project). 3. Construction/renovation simultaneously with analysis of equipment, supply, staffing, and other resources needed. 4. Develop communication plan for community and hospital. </t>
  </si>
  <si>
    <t>Patients, Hospital Leadership and Providers and Staff, Design and Construction Vendors</t>
  </si>
  <si>
    <t xml:space="preserve">NMC has restructured leadership and resources to support surgical services growth and development. </t>
  </si>
  <si>
    <t xml:space="preserve">Estimated cost savings to the payers and to Vermonters of $3.3 million per year once the 50% growth level is achieved. Analysis was done using VT Dept of Health Hospital Report Cards pricing data, included 40 common surgical procedures. </t>
  </si>
  <si>
    <t># of OR's and/or Procedure Rooms, # of Surgical Procedures, Market Share Data, Hospital Operating Margin, Decreased wait times and/or Improved Access</t>
  </si>
  <si>
    <t xml:space="preserve">Minadeo </t>
  </si>
  <si>
    <t>NMC's prices are too low to cover the cost of providing care in many areas. This has resulted in operating losses for 8 of the last 9 years. NMC must thoughtfully and strategically grow a service where the reimbursement does exceed the cost in order to stabilize the organization and bring financial sustainability. Surgery is the area that we identified for growth. If successful, this will also improve the affordability and sustainability of healthcare services for the Vermont system as a whole (commercial payers and Vermonters) because NMC's prices are meaningfully less than UVM and many other Vermont hospitals.</t>
  </si>
  <si>
    <t xml:space="preserve">Yes - NMC will need to recruit more Surgical Services RNs and Techs to expand our capacity. </t>
  </si>
  <si>
    <t>Participate in exploration of (and implementation of, if proven impactful and sustainable long term), a statewide electronic health record; improved interoperability strategy; or independent instance of EPIC for NMC that would better align with UVMH as our tertiary provider and neighboring hospital -- improving care coordination, communication, efficiency, and transparency.</t>
  </si>
  <si>
    <t>Statewide</t>
  </si>
  <si>
    <t>Information Technology</t>
  </si>
  <si>
    <t>Participating hospitals, providers, patients, EHR Vendors/Other Vendors, State officials, VITL,  Regulators, etc.</t>
  </si>
  <si>
    <t>Other</t>
  </si>
  <si>
    <t xml:space="preserve">TBD - At this time we are unable to determine if this would lead to direct cost savings. It would provide rural hospitals with the same tools used in larger facilities such as UVM and Dartmouth. </t>
  </si>
  <si>
    <t>This will be dependent on what approach is taken.</t>
  </si>
  <si>
    <t>Billings</t>
  </si>
  <si>
    <t xml:space="preserve">TBD - Unsure if there will be workforce implications related to this initiative. NMC does employ Informaticists and other IT staff, those resources may need to increase or decrease depending on the end product. </t>
  </si>
  <si>
    <t xml:space="preserve">1. Establish the initial stakeholder group (group will evolve over time). 2. Develop a project plan and timeline. 3. Determine funding required. 4. Implementation. 5. Develop communication plan. </t>
  </si>
  <si>
    <t>Current programs are in place that will be adapted and/or expanded to support this initiative.</t>
  </si>
  <si>
    <t>Staff costs</t>
  </si>
  <si>
    <t>Jenne</t>
  </si>
  <si>
    <t xml:space="preserve">Continued participation in New England Collaborative Healthcare Network (NECHN) to reduce costs to improve hospital and Vermont healthcare system sustainability and affordability. </t>
  </si>
  <si>
    <t>Shared Purchasing</t>
  </si>
  <si>
    <t xml:space="preserve">1. Finalize new additional opportunities to pursue in a prioritized list. 2. Develop a project plan and timeline for each opportunity. 3. Implementation. 4. Communication as needed to community and/or hospital. </t>
  </si>
  <si>
    <t>Hospital Leadership and Staff, Other Participating NECHN Members, Vendors (Various)</t>
  </si>
  <si>
    <t xml:space="preserve">NMC is a founding member of NECHN and groups of stakeholders have met to identify and prioritize opportunities. </t>
  </si>
  <si>
    <t xml:space="preserve">NMC pays a fee to be a member of NECHN and there may be upfront investment required for any individual initiative that NECHN offers to members. None of the fees or upfront investments would be funded by transformation dollars, they would be funded by the savings earned. </t>
  </si>
  <si>
    <t xml:space="preserve">Cost savings are tracked by NECHN and reported to the members. </t>
  </si>
  <si>
    <t>2023</t>
  </si>
  <si>
    <t>N/A</t>
  </si>
  <si>
    <t>Breault</t>
  </si>
  <si>
    <t>Combining purchasing power with other independent healthcare organizations (hospitals, FQHC's, etc.) allows for cost savings in a wide variety of areas, such as supplies and professional services. Lower operating costs results in increased financial sustainability for the participating organizations which leads to increased affordability and sustainability of the Vermont healthcare system.</t>
  </si>
  <si>
    <t xml:space="preserve">TBD - Unsure if there will be workforce implications. Depends on the initiatives, may just be cost savings by contracting as a group or may be shared services that would impact workforce. </t>
  </si>
  <si>
    <t>Participate in implementation of a statewide capacity coordination center to improve access and patient care.</t>
  </si>
  <si>
    <t xml:space="preserve">1. Establish the initial stakeholder group (group will evolve over time) to participate in meetings and conversations at the State level or multi-hospital level. 2. Determine resources and funding necessary to accomplish the goal. 3. Implementation and go-live. 4. Develop communication plan for State/Region/Community/Hospital.  </t>
  </si>
  <si>
    <t>Patients, Hospital Leadership and Staff, Other Hospitals, State Agencies, Vendors(?)</t>
  </si>
  <si>
    <t>Not yet started.</t>
  </si>
  <si>
    <t>Buck</t>
  </si>
  <si>
    <t xml:space="preserve">TBD - Unsure if there will be workforce implications. Unlikely but unknown. </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</si>
  <si>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</si>
  <si>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</si>
  <si>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</si>
  <si>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</si>
  <si>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</si>
  <si>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</si>
  <si>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</si>
  <si>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</si>
  <si>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</si>
  <si>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rgb="FF215C98"/>
        <rFont val="Aptos Narrow"/>
        <family val="2"/>
        <scheme val="minor"/>
      </rPr>
      <t>Example</t>
    </r>
    <r>
      <rPr>
        <sz val="11"/>
        <color rgb="FF215C98"/>
        <rFont val="Aptos Narrow"/>
        <family val="2"/>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</si>
  <si>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</si>
  <si>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</si>
  <si>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</si>
  <si>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</si>
  <si>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</si>
  <si>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</si>
  <si>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</si>
  <si>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</si>
  <si>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</si>
  <si>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Risk 3</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</si>
  <si>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</si>
  <si>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</si>
  <si>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</si>
  <si>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</si>
  <si>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</si>
  <si>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</si>
  <si>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</si>
  <si>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</si>
  <si>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</si>
  <si>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Comm 1</t>
  </si>
  <si>
    <t xml:space="preserve"> </t>
  </si>
  <si>
    <t>The communication tab tracks all regular project interactions to ensure consistent, transparent engagement with key stakeholders.</t>
  </si>
  <si>
    <t>Hospital Leadership and Staff, Various Schools/Programs across Vermont and Other States, Other Hospitals, Possibly VSAC and Other Agencies, International Search Firms</t>
  </si>
  <si>
    <t>Reduction of Travelers, decreased premium pay, retention</t>
  </si>
  <si>
    <t>At least ten new NMC hires that will eliminate the need for Travelers</t>
  </si>
  <si>
    <t>Upon receipt of grant</t>
  </si>
  <si>
    <t>Investment in NMC workforce will be stabilizing and will be perpetuated into the future, contributing to our culture and community.</t>
  </si>
  <si>
    <t>Not Applicable</t>
  </si>
  <si>
    <t>1. Identify FY2026 operating expense reductions for budget submission and after the budget hearing and approval process, implement the expense reductions to align with the budget order.</t>
  </si>
  <si>
    <t>This item is complete</t>
  </si>
  <si>
    <t>None</t>
  </si>
  <si>
    <t>Budget to Actual During FY2026</t>
  </si>
  <si>
    <t>Yes - NMC will not be providing wage increases to staff in FY2026 which may negatively impact recruitment and retention, NMC also reduced FTEs to achieve savings which may also negatively impact recruitment and retention as workload for remaining staff increases.</t>
  </si>
  <si>
    <t>Act 55 - Cap on charge/reimbursement of outpatient drugs</t>
  </si>
  <si>
    <t>1. Implement new Act 55 legislation on 1/1/26</t>
  </si>
  <si>
    <t>The cost savings number reported in Column I is for FY2026.</t>
  </si>
  <si>
    <t>Hospital Finance and Billing Teams, Hospital Pharmacy Team</t>
  </si>
  <si>
    <t>The cost savings number reported in Column I is for one full year.</t>
  </si>
  <si>
    <t>N/A - Mandated legislation</t>
  </si>
  <si>
    <t xml:space="preserve">Establish (by being a founding member) a collaborative of independent hospitals and healthcare providers to identify and evaluate opportunities to share services and reduce costs, improve revenue performance, and increase partnership and collaboration. </t>
  </si>
  <si>
    <t>To align with the State's goal of healthcare workforce development, expand programs for nursing and other clinical specialties. Examples include ED RNs, Surgical Services RNs and Techs, ICU RNs, DI Techs, Lab Techs, RTs) to reduce reliance on temporary traveler staff and reduce cost to improve hospital sustainability and affordability. Ideas include International search / placement firms and tabling at schools in New England.</t>
  </si>
  <si>
    <t xml:space="preserve">See Goal </t>
  </si>
  <si>
    <t>Reduce operating expenses to meet GMCB benchmark for FY2026 budget submission (including no wage increases for staff)</t>
  </si>
  <si>
    <t>All Hospital Leaders and Staff, Hospital Board of Directors, GMCB Staff and Board Members</t>
  </si>
  <si>
    <t>Expense reductions are necessary to try and improve the hospital's financial performance and long-term financial sustainability. The hospital should operate efficiently, however, we cannot fully cut our way out of our financial problems. We will need to implement expense reductions but focus on growing in order to truly achieve long-term financial sustainability.</t>
  </si>
  <si>
    <t>1. Establish the initial stakeholder group (group will evolve over time) to participate in meetings and conversations at the State level or multi-hospital level. 
2. Significant effort to determine the approach to the project: is it a single instance of a specific EHR for all hospitals; is it a new instance of EPIC for Vermont's smaller hospitals that connects to Dartmouth's EPIC and UVMH EPIC; is it a community connect instance of either UVMH or Dartmouth; or is it a comprehensive capitalization of interoperability through something like VITL to connect existing EHRs in truly useful ways to advance care and efficiency for both clinicians and patients; or is it an independent instance of EPIC for NMC to better communicate with  UVMH.
3. Determine resources and funding necessary to accomplish the selected method (EXAMPLES: number of staff and hours, third party vendors, revenue cycle impacts -- as well as the long term sustainability costs for system operation and maintenance.) 
4. Establish a governing body to ensure proper alignment and consistency of functionality, dictionaries, order sets, documentation, workflows, nomenclature, etc. 
5. Thoughtfully plan the conversion of existing data to the new system, intentionally not underestimating the crucial nature of this step; 
 6. Develop communication plan for community and hospitals. 
7. Implementation and go-live across the State.</t>
  </si>
  <si>
    <t xml:space="preserve">Initial internal research regarding EHR options for NMC moving forward are just starting. Informal conversations have been held in meetings of the New England Collaborative Health Network that brings together a number of independent hospitals in Vermont. Many internal conversations about opportunities and risks - with curious interest in EPIC but significant concern about the long term affordability of the operating costs. </t>
  </si>
  <si>
    <t>TBD - Dependent on the route taken. Interoperability vs Shared EMR vs independent instance.</t>
  </si>
  <si>
    <t xml:space="preserve">For a shared EMR approach: 
We have heard an unconfirmed report that the cost of going to EPIC for a small VT hospital was $7 million to start and $2.2 million annually thereafter. With that, the upfront cost of this investment would be significant and the ongoing maintenance costs may be significantly higher than what is currently incurred. Proper upfront investment may be possible through these transformation funds. Vermont must identify how ongoing costs will be covered once transformation funding window closes, as those ongoing operational costs may be out of reach for small organizations in the current environment.
A statewide EHR governance committee would be needed to decide on processes built in the EHR. Coming to a consensus on who governs this EHR will be a challenge. 
Putting the State on a single instance of an EHR, may increase susceptibility to cyberattacks and limit statewide redundancy.  EHR System issues will impact all hospitals on the shared platform.
</t>
  </si>
  <si>
    <t xml:space="preserve">The investment required may be more than $500,000. This is a multi-pronged approach which will involve working with educational institutions and international organizations.  The investment is significant as is the return, there will be service requirements for the individuals participating in the programs. Also interested in housing initiatives for our workforce that could be part of this goal. </t>
  </si>
  <si>
    <t>Member hospitals and healthcare organizations (Main Groups Include: Senior Leaders, Finance and Revenue Cycle, Human Resources, Information Technology, Supply Chain)</t>
  </si>
  <si>
    <t>&gt;$50,000</t>
  </si>
  <si>
    <t xml:space="preserve">Operating Expenses Trended Over Time </t>
  </si>
  <si>
    <t>2024</t>
  </si>
  <si>
    <t>Creating a collaborative for independent organizations that allows group purchases and shared services will lower costs and improve financial sustainability for all members.</t>
  </si>
  <si>
    <t xml:space="preserve">Yes - Future initiatives may include shared staffing models, joint recruitment efforts, etc. </t>
  </si>
  <si>
    <t>$1.5M-$3.0M</t>
  </si>
  <si>
    <t xml:space="preserve">This  plan will be broken into two or three phases with benchmarks established at all three phases. Phase 1 is to contract with a private community OB/GYN practice. This should result in about a $300,000 savings.  Phase II transitions the OB/GYN clinic to the private community partner and will increase the savings to the hospital.  Phase III will transition all OB/GYN services to the community partner including OB coverage 24/7/365. This leaves the hospital with the cost of 24/7 nursing coverage for the inpatient birthing and PEDS unit and inpatient pediatrics provider coverage.  Estimated financial projections show a potential break even point for the hospital at this point.   </t>
  </si>
  <si>
    <t>Unknown - TBD</t>
  </si>
  <si>
    <t>Approx $8.5M for Phase I renovations. Additional amounts TBD.</t>
  </si>
  <si>
    <t>TBD - Significant savings to the system if NMC can provide more care locally.</t>
  </si>
  <si>
    <t>1. Identify founding members and establish the entity - New England Collaborative Health Network. 2. Hire and onboard a Director to record ideas, facilitate prioritization of initiatives and meetings, report on results, etc. 3. Implement initiatives.</t>
  </si>
  <si>
    <t>If NMC does not offer labor &amp; delivery services, those services would be provided by UVMMC for our community and the increased cost to the system would be significant (estimated at over $3M per year).</t>
  </si>
  <si>
    <t xml:space="preserve">Several initiatives have been completed and/or are underway. Examples include: Supply Chain Group Purchasing Organization Alignment, Malpractice Insurance, Stop Loss Insurance, etc. </t>
  </si>
  <si>
    <t>Goal is $100,000-$300,000 per year, depends on initiatives selected for the year</t>
  </si>
  <si>
    <t>Develop and implement a community and employer outreach and education strategy that improves financial and health literacy.</t>
  </si>
  <si>
    <t xml:space="preserve">1. Develop joint ad campaign with other low cost providers. 2. Determine if NMC only ad campaign should be developed to continue the effort. 3. Work with payers on employer outreach. </t>
  </si>
  <si>
    <t>Patients, Hospital Leadership and Community Relations, Commercial Payers, Employers</t>
  </si>
  <si>
    <t>Action step 1 is complete.</t>
  </si>
  <si>
    <t>Volumes tracked and trended over time, Market share data</t>
  </si>
  <si>
    <t>Fall 2025</t>
  </si>
  <si>
    <t>Yes - Additional staffing may be required if volumes and services are increased.</t>
  </si>
  <si>
    <t>Increasing volume and market share will improve the financial sustainability of the hospital and the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</si>
</sst>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00_);_([$$-409]* \(#,##0.00\);_([$$-409]* &quot;-&quot;??_);_(@_)"/>
  </numFmts>
  <fonts count="29" x14ac:knownFonts="1">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
      <b/>
      <sz val="11"/>
      <color theme="1"/>
      <name val="Aptos Narrow"/>
      <family val="2"/>
      <scheme val="minor"/>
    </font>
    <font>
      <b/>
      <sz val="11"/>
      <color rgb="FF000000"/>
      <name val="Aptos Narrow"/>
      <family val="2"/>
      <scheme val="minor"/>
    </font>
    <font>
      <b/>
      <sz val="11"/>
      <name val="Aptos Narrow"/>
      <family val="2"/>
      <scheme val="minor"/>
    </font>
    <font>
      <sz val="11"/>
      <color theme="3" tint="0.249977111117893"/>
      <name val="Aptos Narrow"/>
      <family val="2"/>
      <scheme val="minor"/>
    </font>
    <font>
      <u/>
      <sz val="11"/>
      <color theme="3" tint="0.249977111117893"/>
      <name val="Aptos Narrow"/>
      <family val="2"/>
      <scheme val="minor"/>
    </font>
    <font>
      <b/>
      <sz val="11"/>
      <color theme="1"/>
      <name val="Aptos Narrow"/>
      <family val="2"/>
      <scheme val="minor"/>
    </font>
    <font>
      <sz val="11"/>
      <color theme="3" tint="0.249977111117893"/>
      <name val="Aptos Narrow"/>
      <family val="2"/>
      <scheme val="minor"/>
    </font>
    <font>
      <b/>
      <sz val="11"/>
      <name val="Aptos"/>
      <family val="2"/>
    </font>
    <font>
      <sz val="11"/>
      <name val="Aptos"/>
      <family val="2"/>
    </font>
    <font>
      <sz val="11"/>
      <name val="Arial"/>
      <family val="2"/>
    </font>
    <font>
      <sz val="11"/>
      <color rgb="FF000000"/>
      <name val="Aptos Narrow"/>
      <family val="2"/>
      <scheme val="minor"/>
    </font>
    <font>
      <b/>
      <sz val="12"/>
      <color theme="1"/>
      <name val="Aptos Narrow"/>
      <family val="2"/>
      <scheme val="minor"/>
    </font>
    <font>
      <sz val="11"/>
      <name val="Aptos"/>
      <family val="2"/>
    </font>
    <font>
      <b/>
      <sz val="11"/>
      <name val="Aptos"/>
      <family val="2"/>
    </font>
    <font>
      <u/>
      <sz val="11"/>
      <color rgb="FF215C98"/>
      <name val="Aptos Narrow"/>
      <family val="2"/>
      <scheme val="minor"/>
    </font>
    <font>
      <sz val="11"/>
      <color rgb="FF215C98"/>
      <name val="Aptos Narrow"/>
      <family val="2"/>
      <scheme val="minor"/>
    </font>
    <font>
      <sz val="11"/>
      <color rgb="FF000000"/>
      <name val="Aptos Narrow"/>
      <scheme val="minor"/>
    </font>
    <font>
      <sz val="1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44" fontId="1" fillId="0" borderId="0" applyFont="0" applyFill="0" applyBorder="0" applyAlignment="0" applyProtection="0"/>
  </cellStyleXfs>
  <cellXfs count="100">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1" xfId="0" applyFont="1" applyBorder="1" applyAlignment="1">
      <alignment horizontal="left" vertical="top" wrapText="1"/>
    </xf>
    <xf numFmtId="0" fontId="7" fillId="0" borderId="1" xfId="0" applyFont="1" applyBorder="1" applyAlignment="1" applyProtection="1">
      <alignment horizontal="left" vertical="top"/>
      <protection locked="0"/>
    </xf>
    <xf numFmtId="0" fontId="7" fillId="0" borderId="0" xfId="0" applyFont="1"/>
    <xf numFmtId="0" fontId="7" fillId="0" borderId="1" xfId="0" applyFont="1" applyBorder="1" applyAlignment="1">
      <alignment horizontal="left" vertical="top"/>
    </xf>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8" fillId="3" borderId="1" xfId="1" applyNumberFormat="1" applyFont="1" applyFill="1" applyBorder="1" applyAlignment="1">
      <alignment horizontal="center" vertical="center" wrapText="1"/>
    </xf>
    <xf numFmtId="164" fontId="8" fillId="3" borderId="8" xfId="1"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0" xfId="0" applyFont="1"/>
    <xf numFmtId="0" fontId="9" fillId="0" borderId="0" xfId="0" applyFont="1" applyAlignment="1">
      <alignment horizontal="left" vertical="top"/>
    </xf>
    <xf numFmtId="0" fontId="10" fillId="0" borderId="6" xfId="0" applyFont="1" applyBorder="1" applyAlignment="1">
      <alignment horizontal="left" vertical="top" wrapText="1"/>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164" fontId="11" fillId="2" borderId="1" xfId="1"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14" fillId="0" borderId="6" xfId="0" applyFont="1" applyBorder="1" applyAlignment="1">
      <alignment horizontal="left" vertical="top" wrapText="1"/>
    </xf>
    <xf numFmtId="0" fontId="14" fillId="0" borderId="1" xfId="0" applyFont="1" applyBorder="1" applyAlignment="1">
      <alignment horizontal="left" vertical="top" wrapText="1"/>
    </xf>
    <xf numFmtId="0" fontId="14" fillId="0" borderId="7" xfId="0" applyFont="1" applyBorder="1" applyAlignment="1" applyProtection="1">
      <alignment horizontal="left" vertical="top" wrapText="1"/>
      <protection locked="0"/>
    </xf>
    <xf numFmtId="165" fontId="14" fillId="0" borderId="9" xfId="0" applyNumberFormat="1" applyFont="1" applyBorder="1" applyAlignment="1">
      <alignment horizontal="left" vertical="top"/>
    </xf>
    <xf numFmtId="165" fontId="14" fillId="0" borderId="6" xfId="0" applyNumberFormat="1" applyFont="1" applyBorder="1" applyAlignment="1">
      <alignment horizontal="left" vertical="top"/>
    </xf>
    <xf numFmtId="4" fontId="14" fillId="0" borderId="1" xfId="0" applyNumberFormat="1" applyFont="1" applyBorder="1" applyAlignment="1" applyProtection="1">
      <alignment horizontal="left" vertical="top"/>
      <protection locked="0"/>
    </xf>
    <xf numFmtId="14" fontId="14" fillId="0" borderId="6" xfId="0" applyNumberFormat="1" applyFont="1" applyBorder="1" applyAlignment="1">
      <alignment horizontal="left" vertical="top"/>
    </xf>
    <xf numFmtId="0" fontId="14" fillId="0" borderId="6" xfId="0" applyFont="1" applyBorder="1" applyAlignment="1">
      <alignment horizontal="left" vertical="top"/>
    </xf>
    <xf numFmtId="0" fontId="14" fillId="0" borderId="0" xfId="0" applyFont="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7" xfId="0" applyFont="1" applyBorder="1" applyAlignment="1" applyProtection="1">
      <alignment horizontal="left" vertical="top" wrapText="1"/>
      <protection locked="0"/>
    </xf>
    <xf numFmtId="0" fontId="10" fillId="0" borderId="6" xfId="0" applyFont="1" applyBorder="1" applyAlignment="1">
      <alignment horizontal="left" vertical="top"/>
    </xf>
    <xf numFmtId="4" fontId="10" fillId="0" borderId="1" xfId="0" applyNumberFormat="1" applyFont="1" applyBorder="1" applyAlignment="1" applyProtection="1">
      <alignment horizontal="left" vertical="top"/>
      <protection locked="0"/>
    </xf>
    <xf numFmtId="14" fontId="10" fillId="0" borderId="6" xfId="0" applyNumberFormat="1" applyFont="1" applyBorder="1" applyAlignment="1">
      <alignment horizontal="left" vertical="top"/>
    </xf>
    <xf numFmtId="0" fontId="10" fillId="0" borderId="0" xfId="0" applyFont="1" applyAlignment="1">
      <alignment horizontal="left" vertical="top"/>
    </xf>
    <xf numFmtId="0" fontId="5" fillId="0" borderId="6"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6" fillId="0" borderId="7" xfId="0" applyFont="1" applyBorder="1" applyAlignment="1">
      <alignment vertical="top"/>
    </xf>
    <xf numFmtId="0" fontId="5" fillId="0" borderId="9" xfId="0" applyFont="1" applyBorder="1" applyAlignment="1">
      <alignment vertical="top"/>
    </xf>
    <xf numFmtId="0" fontId="5" fillId="0" borderId="0" xfId="0" applyFont="1"/>
    <xf numFmtId="0" fontId="21" fillId="0" borderId="1" xfId="0" applyFont="1" applyBorder="1" applyAlignment="1" applyProtection="1">
      <alignment horizontal="left" vertical="top" wrapText="1"/>
      <protection locked="0"/>
    </xf>
    <xf numFmtId="0" fontId="22" fillId="0" borderId="0" xfId="0" applyFont="1"/>
    <xf numFmtId="0" fontId="19" fillId="0" borderId="12" xfId="0" applyFont="1" applyBorder="1" applyAlignment="1">
      <alignment horizontal="center" vertical="center" wrapText="1" readingOrder="1"/>
    </xf>
    <xf numFmtId="0" fontId="19" fillId="0" borderId="13" xfId="0" applyFont="1" applyBorder="1" applyAlignment="1">
      <alignment vertical="center" wrapText="1" readingOrder="1"/>
    </xf>
    <xf numFmtId="0" fontId="19" fillId="0" borderId="14" xfId="0" applyFont="1" applyBorder="1" applyAlignment="1">
      <alignment horizontal="center" vertical="center" wrapText="1" readingOrder="1"/>
    </xf>
    <xf numFmtId="0" fontId="19" fillId="0" borderId="15" xfId="0" applyFont="1" applyBorder="1" applyAlignment="1">
      <alignment vertical="center" wrapText="1" readingOrder="1"/>
    </xf>
    <xf numFmtId="0" fontId="23" fillId="0" borderId="13" xfId="0" applyFont="1" applyBorder="1" applyAlignment="1">
      <alignment vertical="center" wrapText="1" readingOrder="1"/>
    </xf>
    <xf numFmtId="0" fontId="5" fillId="0" borderId="1" xfId="0" applyFont="1" applyBorder="1" applyAlignment="1">
      <alignment horizontal="left" vertical="top" wrapText="1"/>
    </xf>
    <xf numFmtId="0" fontId="17" fillId="0" borderId="6" xfId="0" applyFont="1" applyBorder="1" applyAlignment="1">
      <alignment horizontal="left" vertical="top" wrapText="1"/>
    </xf>
    <xf numFmtId="0" fontId="16" fillId="2" borderId="1" xfId="0" applyFont="1" applyFill="1" applyBorder="1" applyAlignment="1">
      <alignment horizontal="left" vertical="top" wrapText="1"/>
    </xf>
    <xf numFmtId="0" fontId="26" fillId="0" borderId="6" xfId="0" applyFont="1" applyBorder="1" applyAlignment="1">
      <alignment horizontal="left" vertical="top" wrapText="1"/>
    </xf>
    <xf numFmtId="0" fontId="10" fillId="0" borderId="0" xfId="0" applyFont="1" applyAlignment="1">
      <alignment horizontal="left" vertical="top" wrapText="1"/>
    </xf>
    <xf numFmtId="0" fontId="10" fillId="0" borderId="16" xfId="0" applyFont="1" applyBorder="1" applyAlignment="1">
      <alignment horizontal="left" vertical="top" wrapText="1"/>
    </xf>
    <xf numFmtId="0" fontId="21" fillId="0" borderId="6" xfId="0" applyFont="1" applyBorder="1" applyAlignment="1">
      <alignment horizontal="left" vertical="top" wrapText="1"/>
    </xf>
    <xf numFmtId="0" fontId="21" fillId="0" borderId="7" xfId="0" applyFont="1" applyBorder="1" applyAlignment="1" applyProtection="1">
      <alignment horizontal="left" vertical="top" wrapText="1"/>
      <protection locked="0"/>
    </xf>
    <xf numFmtId="14" fontId="21" fillId="0" borderId="6" xfId="0" quotePrefix="1" applyNumberFormat="1" applyFont="1" applyBorder="1" applyAlignment="1">
      <alignment horizontal="left" vertical="top"/>
    </xf>
    <xf numFmtId="0" fontId="0" fillId="0" borderId="6" xfId="0"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165" fontId="9" fillId="0" borderId="9" xfId="0" applyNumberFormat="1" applyFont="1" applyBorder="1" applyAlignment="1">
      <alignment horizontal="left" vertical="top"/>
    </xf>
    <xf numFmtId="4" fontId="9" fillId="0" borderId="1" xfId="0" applyNumberFormat="1" applyFont="1" applyBorder="1" applyAlignment="1" applyProtection="1">
      <alignment horizontal="left" vertical="top"/>
      <protection locked="0"/>
    </xf>
    <xf numFmtId="165" fontId="9" fillId="0" borderId="6" xfId="0" applyNumberFormat="1" applyFont="1" applyBorder="1" applyAlignment="1">
      <alignment horizontal="left" vertical="top" wrapText="1"/>
    </xf>
    <xf numFmtId="0" fontId="9" fillId="0" borderId="6" xfId="0" applyFont="1" applyBorder="1" applyAlignment="1">
      <alignment horizontal="left" vertical="top" wrapText="1"/>
    </xf>
    <xf numFmtId="14" fontId="9" fillId="0" borderId="6" xfId="0" applyNumberFormat="1" applyFont="1" applyBorder="1" applyAlignment="1">
      <alignment horizontal="left" vertical="top"/>
    </xf>
    <xf numFmtId="0" fontId="9" fillId="0" borderId="6" xfId="0" applyFont="1" applyBorder="1" applyAlignment="1">
      <alignment horizontal="left" vertical="top"/>
    </xf>
    <xf numFmtId="0" fontId="27" fillId="0" borderId="6" xfId="0" applyFont="1" applyBorder="1" applyAlignment="1">
      <alignment horizontal="left" vertical="top" wrapText="1"/>
    </xf>
    <xf numFmtId="0" fontId="27" fillId="0" borderId="1" xfId="0" applyFont="1" applyBorder="1" applyAlignment="1">
      <alignment horizontal="left" vertical="top" wrapText="1"/>
    </xf>
    <xf numFmtId="0" fontId="27" fillId="0" borderId="1" xfId="0" applyFont="1" applyBorder="1" applyAlignment="1" applyProtection="1">
      <alignment horizontal="left" vertical="top" wrapText="1"/>
      <protection locked="0"/>
    </xf>
    <xf numFmtId="0" fontId="27" fillId="0" borderId="7" xfId="0" applyFont="1" applyBorder="1" applyAlignment="1" applyProtection="1">
      <alignment horizontal="left" vertical="top" wrapText="1"/>
      <protection locked="0"/>
    </xf>
    <xf numFmtId="165" fontId="27" fillId="0" borderId="9" xfId="0" applyNumberFormat="1" applyFont="1" applyBorder="1" applyAlignment="1">
      <alignment horizontal="left" vertical="top"/>
    </xf>
    <xf numFmtId="4" fontId="27" fillId="0" borderId="1" xfId="0" applyNumberFormat="1" applyFont="1" applyBorder="1" applyAlignment="1" applyProtection="1">
      <alignment horizontal="left" vertical="top"/>
      <protection locked="0"/>
    </xf>
    <xf numFmtId="14" fontId="27" fillId="0" borderId="6" xfId="0" applyNumberFormat="1" applyFont="1" applyBorder="1" applyAlignment="1">
      <alignment horizontal="left" vertical="top"/>
    </xf>
    <xf numFmtId="0" fontId="27" fillId="0" borderId="6" xfId="0" applyFont="1" applyBorder="1" applyAlignment="1">
      <alignment horizontal="left" vertical="top"/>
    </xf>
    <xf numFmtId="0" fontId="27" fillId="0" borderId="0" xfId="0" applyFont="1" applyAlignment="1">
      <alignment horizontal="left" vertical="top"/>
    </xf>
    <xf numFmtId="0" fontId="5" fillId="0" borderId="1" xfId="0" applyFont="1" applyBorder="1" applyAlignment="1" applyProtection="1">
      <alignment horizontal="left" vertical="top"/>
      <protection locked="0"/>
    </xf>
    <xf numFmtId="165" fontId="10" fillId="0" borderId="9" xfId="0" applyNumberFormat="1" applyFont="1" applyBorder="1" applyAlignment="1">
      <alignment horizontal="left" vertical="top"/>
    </xf>
    <xf numFmtId="165" fontId="10" fillId="0" borderId="6" xfId="0" applyNumberFormat="1" applyFont="1" applyBorder="1" applyAlignment="1">
      <alignment horizontal="left" vertical="top" wrapText="1"/>
    </xf>
    <xf numFmtId="14" fontId="10" fillId="0" borderId="6" xfId="0" applyNumberFormat="1" applyFont="1" applyBorder="1" applyAlignment="1">
      <alignment horizontal="left" vertical="top" wrapText="1"/>
    </xf>
    <xf numFmtId="0" fontId="28" fillId="0" borderId="6" xfId="0" applyFont="1" applyBorder="1" applyAlignment="1">
      <alignment horizontal="left" vertical="top" wrapText="1"/>
    </xf>
    <xf numFmtId="14" fontId="0" fillId="0" borderId="6" xfId="0" applyNumberFormat="1" applyBorder="1" applyAlignment="1">
      <alignment horizontal="left" vertical="top" wrapText="1"/>
    </xf>
    <xf numFmtId="14" fontId="10" fillId="0" borderId="6" xfId="0" quotePrefix="1" applyNumberFormat="1" applyFont="1" applyBorder="1" applyAlignment="1">
      <alignment horizontal="left" vertical="top" wrapText="1"/>
    </xf>
    <xf numFmtId="165" fontId="10" fillId="0" borderId="9" xfId="0" quotePrefix="1" applyNumberFormat="1" applyFont="1" applyBorder="1" applyAlignment="1">
      <alignment horizontal="left" vertical="top"/>
    </xf>
    <xf numFmtId="0" fontId="18" fillId="4" borderId="10" xfId="0" applyFont="1" applyFill="1" applyBorder="1" applyAlignment="1">
      <alignment wrapText="1" readingOrder="1"/>
    </xf>
    <xf numFmtId="0" fontId="18" fillId="4" borderId="11" xfId="0" applyFont="1" applyFill="1" applyBorder="1" applyAlignment="1">
      <alignment wrapText="1" readingOrder="1"/>
    </xf>
    <xf numFmtId="0" fontId="24" fillId="4" borderId="12" xfId="0" applyFont="1" applyFill="1" applyBorder="1" applyAlignment="1">
      <alignment wrapText="1" readingOrder="1"/>
    </xf>
    <xf numFmtId="0" fontId="18" fillId="4" borderId="13" xfId="0" applyFont="1" applyFill="1" applyBorder="1" applyAlignment="1">
      <alignment wrapText="1" readingOrder="1"/>
    </xf>
    <xf numFmtId="0" fontId="3"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workbookViewId="0">
      <selection activeCell="B11" sqref="B11"/>
    </sheetView>
  </sheetViews>
  <sheetFormatPr defaultRowHeight="15" x14ac:dyDescent="0.25"/>
  <cols>
    <col min="1" max="1" width="5.5703125" customWidth="1"/>
    <col min="2" max="2" width="88.28515625" customWidth="1"/>
  </cols>
  <sheetData>
    <row r="1" spans="1:2" s="51" customFormat="1" ht="15.75" x14ac:dyDescent="0.25">
      <c r="A1" s="53" t="s">
        <v>0</v>
      </c>
    </row>
    <row r="2" spans="1:2" s="51" customFormat="1" ht="15.75" x14ac:dyDescent="0.25">
      <c r="A2" s="51" t="s">
        <v>1</v>
      </c>
    </row>
    <row r="3" spans="1:2" s="51" customFormat="1" ht="15.75" x14ac:dyDescent="0.25">
      <c r="A3" s="51" t="s">
        <v>2</v>
      </c>
    </row>
    <row r="4" spans="1:2" s="51" customFormat="1" ht="15.75" x14ac:dyDescent="0.25"/>
    <row r="5" spans="1:2" s="51" customFormat="1" ht="15.75" x14ac:dyDescent="0.25">
      <c r="A5" s="53" t="s">
        <v>3</v>
      </c>
    </row>
    <row r="6" spans="1:2" s="51" customFormat="1" ht="15.75" x14ac:dyDescent="0.25">
      <c r="A6" s="51" t="s">
        <v>4</v>
      </c>
    </row>
    <row r="7" spans="1:2" ht="15.75" x14ac:dyDescent="0.25">
      <c r="A7" s="51" t="s">
        <v>5</v>
      </c>
    </row>
    <row r="8" spans="1:2" s="51" customFormat="1" ht="15.75" x14ac:dyDescent="0.25">
      <c r="A8" s="51" t="s">
        <v>6</v>
      </c>
    </row>
    <row r="10" spans="1:2" x14ac:dyDescent="0.25">
      <c r="A10" s="95" t="s">
        <v>7</v>
      </c>
      <c r="B10" s="96"/>
    </row>
    <row r="11" spans="1:2" ht="28.5" customHeight="1" x14ac:dyDescent="0.25">
      <c r="A11" s="54" t="s">
        <v>8</v>
      </c>
      <c r="B11" s="55" t="s">
        <v>9</v>
      </c>
    </row>
    <row r="12" spans="1:2" ht="39" customHeight="1" x14ac:dyDescent="0.25">
      <c r="A12" s="54" t="s">
        <v>10</v>
      </c>
      <c r="B12" s="55" t="s">
        <v>11</v>
      </c>
    </row>
    <row r="13" spans="1:2" ht="26.25" customHeight="1" x14ac:dyDescent="0.25">
      <c r="A13" s="54" t="s">
        <v>12</v>
      </c>
      <c r="B13" s="55" t="s">
        <v>13</v>
      </c>
    </row>
    <row r="14" spans="1:2" x14ac:dyDescent="0.25">
      <c r="A14" s="97" t="s">
        <v>14</v>
      </c>
      <c r="B14" s="98"/>
    </row>
    <row r="15" spans="1:2" ht="35.25" customHeight="1" x14ac:dyDescent="0.25">
      <c r="A15" s="54" t="s">
        <v>8</v>
      </c>
      <c r="B15" s="55" t="s">
        <v>15</v>
      </c>
    </row>
    <row r="16" spans="1:2" ht="24.75" customHeight="1" x14ac:dyDescent="0.25">
      <c r="A16" s="54" t="s">
        <v>10</v>
      </c>
      <c r="B16" s="58" t="s">
        <v>16</v>
      </c>
    </row>
    <row r="17" spans="1:2" ht="45" x14ac:dyDescent="0.25">
      <c r="A17" s="54" t="s">
        <v>12</v>
      </c>
      <c r="B17" s="55" t="s">
        <v>17</v>
      </c>
    </row>
    <row r="18" spans="1:2" ht="37.5" customHeight="1" x14ac:dyDescent="0.25">
      <c r="A18" s="54" t="s">
        <v>18</v>
      </c>
      <c r="B18" s="55" t="s">
        <v>19</v>
      </c>
    </row>
    <row r="19" spans="1:2" ht="44.45" customHeight="1" x14ac:dyDescent="0.25">
      <c r="A19" s="56" t="s">
        <v>20</v>
      </c>
      <c r="B19" s="57" t="s">
        <v>21</v>
      </c>
    </row>
    <row r="21" spans="1:2" s="51" customFormat="1" ht="15.75" x14ac:dyDescent="0.25">
      <c r="A21" s="53" t="s">
        <v>22</v>
      </c>
    </row>
    <row r="22" spans="1:2" ht="15.75" x14ac:dyDescent="0.25">
      <c r="A22" s="51" t="s">
        <v>23</v>
      </c>
    </row>
    <row r="23" spans="1:2" ht="15.75" x14ac:dyDescent="0.25">
      <c r="A23" s="51" t="s">
        <v>24</v>
      </c>
    </row>
    <row r="25" spans="1:2" s="51" customFormat="1" ht="15.75" x14ac:dyDescent="0.25">
      <c r="A25" s="53" t="s">
        <v>25</v>
      </c>
    </row>
    <row r="26" spans="1:2" s="51" customFormat="1" ht="15.75" x14ac:dyDescent="0.25">
      <c r="A26" s="51" t="s">
        <v>26</v>
      </c>
    </row>
    <row r="27" spans="1:2" ht="15.75" x14ac:dyDescent="0.25">
      <c r="A27" s="51" t="s">
        <v>27</v>
      </c>
    </row>
    <row r="28" spans="1:2" ht="15.75" x14ac:dyDescent="0.25">
      <c r="A28" s="51"/>
    </row>
    <row r="29" spans="1:2" ht="15.75" x14ac:dyDescent="0.25">
      <c r="A29" s="53" t="s">
        <v>28</v>
      </c>
      <c r="B29" s="51"/>
    </row>
    <row r="30" spans="1:2" ht="15.75" x14ac:dyDescent="0.25">
      <c r="A30" s="51" t="s">
        <v>29</v>
      </c>
      <c r="B30" s="51"/>
    </row>
    <row r="32" spans="1:2" ht="15.75" x14ac:dyDescent="0.25">
      <c r="A32" s="53" t="s">
        <v>30</v>
      </c>
      <c r="B32" s="51"/>
    </row>
    <row r="33" spans="1:1" ht="15.75" x14ac:dyDescent="0.25">
      <c r="A33" s="51" t="s">
        <v>31</v>
      </c>
    </row>
    <row r="35" spans="1:1" x14ac:dyDescent="0.25">
      <c r="A35" t="s">
        <v>32</v>
      </c>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zoomScaleNormal="100" workbookViewId="0">
      <selection activeCell="F9" sqref="F9"/>
    </sheetView>
  </sheetViews>
  <sheetFormatPr defaultColWidth="9.140625" defaultRowHeight="37.35" customHeight="1" x14ac:dyDescent="0.25"/>
  <cols>
    <col min="1" max="1" width="39.42578125" style="10" customWidth="1"/>
    <col min="2" max="2" width="41.85546875" style="10" customWidth="1"/>
    <col min="3" max="16384" width="9.140625" style="13"/>
  </cols>
  <sheetData>
    <row r="1" spans="1:2" ht="24.6" customHeight="1" x14ac:dyDescent="0.25">
      <c r="A1" s="11" t="s">
        <v>33</v>
      </c>
      <c r="B1" s="12" t="s">
        <v>34</v>
      </c>
    </row>
    <row r="2" spans="1:2" ht="29.45" customHeight="1" x14ac:dyDescent="0.25">
      <c r="A2" s="11" t="s">
        <v>35</v>
      </c>
      <c r="B2" s="12" t="s">
        <v>36</v>
      </c>
    </row>
    <row r="3" spans="1:2" ht="29.45" customHeight="1" x14ac:dyDescent="0.25">
      <c r="A3" s="11" t="s">
        <v>37</v>
      </c>
      <c r="B3" s="12" t="s">
        <v>38</v>
      </c>
    </row>
    <row r="4" spans="1:2" ht="29.45" customHeight="1" x14ac:dyDescent="0.25">
      <c r="A4" s="11" t="s">
        <v>39</v>
      </c>
      <c r="B4" s="12" t="s">
        <v>40</v>
      </c>
    </row>
    <row r="5" spans="1:2" ht="29.45" customHeight="1" x14ac:dyDescent="0.25">
      <c r="A5" s="11" t="s">
        <v>41</v>
      </c>
      <c r="B5" s="87" t="s">
        <v>198</v>
      </c>
    </row>
    <row r="6" spans="1:2" ht="29.45" customHeight="1" x14ac:dyDescent="0.25">
      <c r="A6" s="11" t="s">
        <v>42</v>
      </c>
      <c r="B6" s="12" t="s">
        <v>43</v>
      </c>
    </row>
    <row r="7" spans="1:2" ht="29.45" customHeight="1" x14ac:dyDescent="0.25">
      <c r="A7" s="11" t="s">
        <v>44</v>
      </c>
      <c r="B7" s="12" t="s">
        <v>45</v>
      </c>
    </row>
    <row r="8" spans="1:2" ht="29.45" customHeight="1" x14ac:dyDescent="0.25">
      <c r="A8" s="11" t="s">
        <v>46</v>
      </c>
      <c r="B8" s="12" t="s">
        <v>47</v>
      </c>
    </row>
    <row r="9" spans="1:2" ht="29.45" customHeight="1" x14ac:dyDescent="0.25">
      <c r="A9" s="11" t="s">
        <v>48</v>
      </c>
      <c r="B9" s="12"/>
    </row>
    <row r="10" spans="1:2" ht="29.45" customHeight="1" x14ac:dyDescent="0.25">
      <c r="A10" s="11" t="s">
        <v>49</v>
      </c>
      <c r="B10" s="12" t="s">
        <v>50</v>
      </c>
    </row>
    <row r="11" spans="1:2" ht="46.35" customHeight="1" x14ac:dyDescent="0.25">
      <c r="A11" s="59" t="s">
        <v>51</v>
      </c>
      <c r="B11" s="12" t="s">
        <v>43</v>
      </c>
    </row>
    <row r="12" spans="1:2" ht="29.45" customHeight="1" x14ac:dyDescent="0.25">
      <c r="A12" s="11" t="s">
        <v>52</v>
      </c>
      <c r="B12" s="12" t="s">
        <v>53</v>
      </c>
    </row>
    <row r="13" spans="1:2" ht="41.45" customHeight="1" x14ac:dyDescent="0.25">
      <c r="A13" s="11" t="s">
        <v>54</v>
      </c>
      <c r="B13" s="12" t="s">
        <v>55</v>
      </c>
    </row>
    <row r="14" spans="1:2" ht="29.45" customHeight="1" x14ac:dyDescent="0.25">
      <c r="A14" s="11" t="s">
        <v>56</v>
      </c>
      <c r="B14" s="12">
        <v>54</v>
      </c>
    </row>
    <row r="15" spans="1:2" ht="29.45" customHeight="1" x14ac:dyDescent="0.25">
      <c r="A15" s="14" t="s">
        <v>57</v>
      </c>
      <c r="B15" s="12" t="s">
        <v>58</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P19"/>
  <sheetViews>
    <sheetView tabSelected="1" zoomScale="90" zoomScaleNormal="90" workbookViewId="0">
      <pane xSplit="1" ySplit="2" topLeftCell="B3" activePane="bottomRight" state="frozen"/>
      <selection pane="topRight" activeCell="B1" sqref="B1"/>
      <selection pane="bottomLeft" activeCell="A3" sqref="A3"/>
      <selection pane="bottomRight"/>
    </sheetView>
  </sheetViews>
  <sheetFormatPr defaultColWidth="9.140625" defaultRowHeight="15" customHeight="1" x14ac:dyDescent="0.25"/>
  <cols>
    <col min="1" max="1" width="35.42578125" style="21" customWidth="1"/>
    <col min="2" max="2" width="17.42578125" style="21" customWidth="1"/>
    <col min="3" max="3" width="15.85546875" style="21" customWidth="1"/>
    <col min="4" max="4" width="59.140625" style="21" customWidth="1"/>
    <col min="5" max="5" width="29" style="21" customWidth="1"/>
    <col min="6" max="6" width="25.42578125" style="21" customWidth="1"/>
    <col min="7" max="7" width="17.5703125" style="21" customWidth="1"/>
    <col min="8" max="8" width="20" style="21" customWidth="1"/>
    <col min="9" max="9" width="17.5703125" style="21" customWidth="1"/>
    <col min="10" max="10" width="22" style="21" customWidth="1"/>
    <col min="11" max="11" width="21.42578125" style="21" customWidth="1"/>
    <col min="12" max="12" width="17.140625" style="21" customWidth="1"/>
    <col min="13" max="13" width="17.5703125" style="21" customWidth="1"/>
    <col min="14" max="14" width="24" style="21" customWidth="1"/>
    <col min="15" max="15" width="18.140625" style="21" customWidth="1"/>
    <col min="16" max="16" width="57.42578125" style="21" customWidth="1"/>
    <col min="17" max="16384" width="9.140625" style="21"/>
  </cols>
  <sheetData>
    <row r="1" spans="1:16" s="22" customFormat="1" ht="116.1" customHeight="1" x14ac:dyDescent="0.25">
      <c r="A1" s="24" t="s">
        <v>59</v>
      </c>
      <c r="B1" s="24" t="s">
        <v>60</v>
      </c>
      <c r="C1" s="24" t="s">
        <v>61</v>
      </c>
      <c r="D1" s="61" t="s">
        <v>62</v>
      </c>
      <c r="E1" s="25" t="s">
        <v>63</v>
      </c>
      <c r="F1" s="25" t="s">
        <v>64</v>
      </c>
      <c r="G1" s="26" t="s">
        <v>65</v>
      </c>
      <c r="H1" s="27" t="s">
        <v>66</v>
      </c>
      <c r="I1" s="26" t="s">
        <v>67</v>
      </c>
      <c r="J1" s="27" t="s">
        <v>68</v>
      </c>
      <c r="K1" s="27" t="s">
        <v>69</v>
      </c>
      <c r="L1" s="27" t="s">
        <v>70</v>
      </c>
      <c r="M1" s="27" t="s">
        <v>71</v>
      </c>
      <c r="N1" s="28" t="s">
        <v>72</v>
      </c>
      <c r="O1" s="28" t="s">
        <v>73</v>
      </c>
      <c r="P1" s="29" t="s">
        <v>74</v>
      </c>
    </row>
    <row r="2" spans="1:16" ht="33" customHeight="1" x14ac:dyDescent="0.25">
      <c r="A2" s="15" t="s">
        <v>75</v>
      </c>
      <c r="B2" s="15" t="s">
        <v>76</v>
      </c>
      <c r="C2" s="15" t="s">
        <v>77</v>
      </c>
      <c r="D2" s="15" t="s">
        <v>78</v>
      </c>
      <c r="E2" s="16" t="s">
        <v>79</v>
      </c>
      <c r="F2" s="16" t="s">
        <v>80</v>
      </c>
      <c r="G2" s="17" t="s">
        <v>81</v>
      </c>
      <c r="H2" s="15" t="s">
        <v>82</v>
      </c>
      <c r="I2" s="18" t="s">
        <v>83</v>
      </c>
      <c r="J2" s="15" t="s">
        <v>84</v>
      </c>
      <c r="K2" s="15" t="s">
        <v>85</v>
      </c>
      <c r="L2" s="15" t="s">
        <v>86</v>
      </c>
      <c r="M2" s="15" t="s">
        <v>87</v>
      </c>
      <c r="N2" s="19" t="s">
        <v>88</v>
      </c>
      <c r="O2" s="19" t="s">
        <v>89</v>
      </c>
      <c r="P2" s="20" t="s">
        <v>90</v>
      </c>
    </row>
    <row r="3" spans="1:16" s="38" customFormat="1" ht="315" x14ac:dyDescent="0.25">
      <c r="A3" s="60" t="s">
        <v>91</v>
      </c>
      <c r="B3" s="31" t="s">
        <v>92</v>
      </c>
      <c r="C3" s="52" t="s">
        <v>93</v>
      </c>
      <c r="D3" s="32" t="s">
        <v>94</v>
      </c>
      <c r="E3" s="30" t="s">
        <v>95</v>
      </c>
      <c r="F3" s="30" t="s">
        <v>96</v>
      </c>
      <c r="G3" s="33">
        <v>1000000</v>
      </c>
      <c r="H3" s="35"/>
      <c r="I3" s="34"/>
      <c r="J3" s="30" t="s">
        <v>97</v>
      </c>
      <c r="K3" s="36">
        <v>46048</v>
      </c>
      <c r="L3" s="36">
        <v>46332</v>
      </c>
      <c r="M3" s="37" t="s">
        <v>98</v>
      </c>
      <c r="N3" s="37"/>
      <c r="O3" s="35"/>
      <c r="P3" s="30" t="s">
        <v>99</v>
      </c>
    </row>
    <row r="4" spans="1:16" s="45" customFormat="1" ht="240" x14ac:dyDescent="0.25">
      <c r="A4" s="23" t="s">
        <v>213</v>
      </c>
      <c r="B4" s="39" t="s">
        <v>92</v>
      </c>
      <c r="C4" s="40" t="s">
        <v>134</v>
      </c>
      <c r="D4" s="41" t="s">
        <v>199</v>
      </c>
      <c r="E4" s="23" t="s">
        <v>214</v>
      </c>
      <c r="F4" s="23" t="s">
        <v>200</v>
      </c>
      <c r="G4" s="88" t="s">
        <v>201</v>
      </c>
      <c r="H4" s="43" t="s">
        <v>134</v>
      </c>
      <c r="I4" s="89">
        <v>1241794</v>
      </c>
      <c r="J4" s="23" t="s">
        <v>202</v>
      </c>
      <c r="K4" s="90">
        <v>46296</v>
      </c>
      <c r="L4" s="90">
        <v>46295</v>
      </c>
      <c r="M4" s="42" t="s">
        <v>152</v>
      </c>
      <c r="N4" s="91" t="s">
        <v>215</v>
      </c>
      <c r="O4" s="23" t="s">
        <v>203</v>
      </c>
      <c r="P4" s="42" t="s">
        <v>206</v>
      </c>
    </row>
    <row r="5" spans="1:16" s="45" customFormat="1" ht="45" x14ac:dyDescent="0.25">
      <c r="A5" s="23" t="s">
        <v>204</v>
      </c>
      <c r="B5" s="39" t="s">
        <v>131</v>
      </c>
      <c r="C5" s="40" t="s">
        <v>134</v>
      </c>
      <c r="D5" s="41" t="s">
        <v>205</v>
      </c>
      <c r="E5" s="23" t="s">
        <v>207</v>
      </c>
      <c r="F5" s="23" t="s">
        <v>200</v>
      </c>
      <c r="G5" s="88" t="s">
        <v>201</v>
      </c>
      <c r="H5" s="43" t="s">
        <v>134</v>
      </c>
      <c r="I5" s="89">
        <v>800000</v>
      </c>
      <c r="J5" s="23" t="s">
        <v>151</v>
      </c>
      <c r="K5" s="90">
        <v>46023</v>
      </c>
      <c r="L5" s="90" t="s">
        <v>151</v>
      </c>
      <c r="M5" s="42" t="s">
        <v>152</v>
      </c>
      <c r="N5" s="91" t="s">
        <v>209</v>
      </c>
      <c r="O5" s="23" t="s">
        <v>151</v>
      </c>
      <c r="P5" s="42" t="s">
        <v>208</v>
      </c>
    </row>
    <row r="6" spans="1:16" s="45" customFormat="1" ht="120" x14ac:dyDescent="0.25">
      <c r="A6" s="23" t="s">
        <v>210</v>
      </c>
      <c r="B6" s="39" t="s">
        <v>101</v>
      </c>
      <c r="C6" s="40" t="s">
        <v>134</v>
      </c>
      <c r="D6" s="41" t="s">
        <v>232</v>
      </c>
      <c r="E6" s="23" t="s">
        <v>221</v>
      </c>
      <c r="F6" s="23" t="s">
        <v>234</v>
      </c>
      <c r="G6" s="88" t="s">
        <v>222</v>
      </c>
      <c r="H6" s="43" t="s">
        <v>107</v>
      </c>
      <c r="I6" s="89" t="s">
        <v>235</v>
      </c>
      <c r="J6" s="23" t="s">
        <v>223</v>
      </c>
      <c r="K6" s="93" t="s">
        <v>224</v>
      </c>
      <c r="L6" s="90" t="s">
        <v>151</v>
      </c>
      <c r="M6" s="42" t="s">
        <v>152</v>
      </c>
      <c r="N6" s="91" t="s">
        <v>225</v>
      </c>
      <c r="O6" s="23" t="s">
        <v>226</v>
      </c>
      <c r="P6" s="42"/>
    </row>
    <row r="7" spans="1:16" s="45" customFormat="1" ht="75" x14ac:dyDescent="0.25">
      <c r="A7" s="23" t="s">
        <v>236</v>
      </c>
      <c r="B7" s="39" t="s">
        <v>92</v>
      </c>
      <c r="C7" s="40" t="s">
        <v>134</v>
      </c>
      <c r="D7" s="41" t="s">
        <v>237</v>
      </c>
      <c r="E7" s="23" t="s">
        <v>238</v>
      </c>
      <c r="F7" s="23" t="s">
        <v>239</v>
      </c>
      <c r="G7" s="88" t="s">
        <v>106</v>
      </c>
      <c r="H7" s="43" t="s">
        <v>134</v>
      </c>
      <c r="I7" s="89" t="s">
        <v>231</v>
      </c>
      <c r="J7" s="23" t="s">
        <v>240</v>
      </c>
      <c r="K7" s="93" t="s">
        <v>241</v>
      </c>
      <c r="L7" s="90" t="s">
        <v>106</v>
      </c>
      <c r="M7" s="42" t="s">
        <v>137</v>
      </c>
      <c r="N7" s="91" t="s">
        <v>243</v>
      </c>
      <c r="O7" s="23" t="s">
        <v>242</v>
      </c>
      <c r="P7" s="42"/>
    </row>
    <row r="8" spans="1:16" s="45" customFormat="1" ht="409.5" x14ac:dyDescent="0.25">
      <c r="A8" s="23" t="s">
        <v>100</v>
      </c>
      <c r="B8" s="39" t="s">
        <v>101</v>
      </c>
      <c r="C8" s="40" t="s">
        <v>102</v>
      </c>
      <c r="D8" s="41" t="s">
        <v>103</v>
      </c>
      <c r="E8" s="23" t="s">
        <v>104</v>
      </c>
      <c r="F8" s="23" t="s">
        <v>105</v>
      </c>
      <c r="G8" s="94" t="s">
        <v>227</v>
      </c>
      <c r="H8" s="43" t="s">
        <v>107</v>
      </c>
      <c r="I8" s="89" t="s">
        <v>233</v>
      </c>
      <c r="J8" s="23" t="s">
        <v>108</v>
      </c>
      <c r="K8" s="23" t="s">
        <v>109</v>
      </c>
      <c r="L8" s="23" t="s">
        <v>110</v>
      </c>
      <c r="M8" s="42" t="s">
        <v>111</v>
      </c>
      <c r="N8" s="91" t="s">
        <v>228</v>
      </c>
      <c r="O8" s="23" t="s">
        <v>112</v>
      </c>
      <c r="P8" s="42"/>
    </row>
    <row r="9" spans="1:16" s="45" customFormat="1" ht="195" x14ac:dyDescent="0.25">
      <c r="A9" s="23" t="s">
        <v>113</v>
      </c>
      <c r="B9" s="39" t="s">
        <v>101</v>
      </c>
      <c r="C9" s="40" t="s">
        <v>102</v>
      </c>
      <c r="D9" s="41" t="s">
        <v>114</v>
      </c>
      <c r="E9" s="23" t="s">
        <v>115</v>
      </c>
      <c r="F9" s="23" t="s">
        <v>116</v>
      </c>
      <c r="G9" s="88" t="s">
        <v>229</v>
      </c>
      <c r="H9" s="43" t="s">
        <v>107</v>
      </c>
      <c r="I9" s="89" t="s">
        <v>117</v>
      </c>
      <c r="J9" s="23" t="s">
        <v>118</v>
      </c>
      <c r="K9" s="44">
        <v>45931</v>
      </c>
      <c r="L9" s="44">
        <v>46661</v>
      </c>
      <c r="M9" s="42" t="s">
        <v>111</v>
      </c>
      <c r="N9" s="91" t="s">
        <v>119</v>
      </c>
      <c r="O9" s="23" t="s">
        <v>120</v>
      </c>
      <c r="P9" s="42"/>
    </row>
    <row r="10" spans="1:16" s="45" customFormat="1" ht="405" x14ac:dyDescent="0.25">
      <c r="A10" s="65" t="s">
        <v>121</v>
      </c>
      <c r="B10" s="39" t="s">
        <v>92</v>
      </c>
      <c r="C10" s="40" t="s">
        <v>102</v>
      </c>
      <c r="D10" s="41" t="s">
        <v>122</v>
      </c>
      <c r="E10" s="23" t="s">
        <v>123</v>
      </c>
      <c r="F10" s="23" t="s">
        <v>124</v>
      </c>
      <c r="G10" s="23" t="s">
        <v>230</v>
      </c>
      <c r="H10" s="43" t="s">
        <v>107</v>
      </c>
      <c r="I10" s="65" t="s">
        <v>125</v>
      </c>
      <c r="J10" s="65" t="s">
        <v>126</v>
      </c>
      <c r="K10" s="44">
        <v>45999</v>
      </c>
      <c r="L10" s="44">
        <v>47027</v>
      </c>
      <c r="M10" s="42" t="s">
        <v>127</v>
      </c>
      <c r="N10" s="65" t="s">
        <v>128</v>
      </c>
      <c r="O10" s="23" t="s">
        <v>129</v>
      </c>
      <c r="P10" s="42"/>
    </row>
    <row r="11" spans="1:16" s="45" customFormat="1" ht="375" x14ac:dyDescent="0.25">
      <c r="A11" s="68" t="s">
        <v>130</v>
      </c>
      <c r="B11" s="69" t="s">
        <v>131</v>
      </c>
      <c r="C11" s="70" t="s">
        <v>132</v>
      </c>
      <c r="D11" s="71" t="s">
        <v>216</v>
      </c>
      <c r="E11" s="68" t="s">
        <v>133</v>
      </c>
      <c r="F11" s="68" t="s">
        <v>217</v>
      </c>
      <c r="G11" s="72" t="s">
        <v>106</v>
      </c>
      <c r="H11" s="73" t="s">
        <v>134</v>
      </c>
      <c r="I11" s="74" t="s">
        <v>135</v>
      </c>
      <c r="J11" s="75" t="s">
        <v>136</v>
      </c>
      <c r="K11" s="76">
        <v>46054</v>
      </c>
      <c r="L11" s="76">
        <v>47543</v>
      </c>
      <c r="M11" s="77" t="s">
        <v>137</v>
      </c>
      <c r="N11" s="92" t="s">
        <v>218</v>
      </c>
      <c r="O11" s="75" t="s">
        <v>138</v>
      </c>
      <c r="P11" s="68" t="s">
        <v>219</v>
      </c>
    </row>
    <row r="12" spans="1:16" s="86" customFormat="1" ht="195" x14ac:dyDescent="0.25">
      <c r="A12" s="78" t="s">
        <v>211</v>
      </c>
      <c r="B12" s="79" t="s">
        <v>92</v>
      </c>
      <c r="C12" s="80" t="s">
        <v>89</v>
      </c>
      <c r="D12" s="81" t="s">
        <v>139</v>
      </c>
      <c r="E12" s="78" t="s">
        <v>193</v>
      </c>
      <c r="F12" s="78" t="s">
        <v>140</v>
      </c>
      <c r="G12" s="82">
        <v>500000</v>
      </c>
      <c r="H12" s="83" t="s">
        <v>141</v>
      </c>
      <c r="I12" s="23" t="s">
        <v>194</v>
      </c>
      <c r="J12" s="23" t="s">
        <v>195</v>
      </c>
      <c r="K12" s="84" t="s">
        <v>196</v>
      </c>
      <c r="L12" s="84">
        <v>47118</v>
      </c>
      <c r="M12" s="85" t="s">
        <v>142</v>
      </c>
      <c r="N12" s="23" t="s">
        <v>197</v>
      </c>
      <c r="O12" s="23" t="s">
        <v>212</v>
      </c>
      <c r="P12" s="23" t="s">
        <v>220</v>
      </c>
    </row>
    <row r="13" spans="1:16" s="45" customFormat="1" ht="285" x14ac:dyDescent="0.25">
      <c r="A13" s="65" t="s">
        <v>143</v>
      </c>
      <c r="B13" s="39" t="s">
        <v>131</v>
      </c>
      <c r="C13" s="40" t="s">
        <v>144</v>
      </c>
      <c r="D13" s="66" t="s">
        <v>145</v>
      </c>
      <c r="E13" s="23" t="s">
        <v>146</v>
      </c>
      <c r="F13" s="23" t="s">
        <v>147</v>
      </c>
      <c r="G13" s="23" t="s">
        <v>148</v>
      </c>
      <c r="H13" s="43" t="s">
        <v>107</v>
      </c>
      <c r="I13" s="89" t="s">
        <v>235</v>
      </c>
      <c r="J13" s="23" t="s">
        <v>149</v>
      </c>
      <c r="K13" s="67" t="s">
        <v>150</v>
      </c>
      <c r="L13" s="65" t="s">
        <v>151</v>
      </c>
      <c r="M13" s="42" t="s">
        <v>152</v>
      </c>
      <c r="N13" s="65" t="s">
        <v>153</v>
      </c>
      <c r="O13" s="23" t="s">
        <v>154</v>
      </c>
      <c r="P13" s="42"/>
    </row>
    <row r="14" spans="1:16" s="45" customFormat="1" ht="90" x14ac:dyDescent="0.25">
      <c r="A14" s="23" t="s">
        <v>155</v>
      </c>
      <c r="B14" s="39" t="s">
        <v>131</v>
      </c>
      <c r="C14" s="40" t="s">
        <v>93</v>
      </c>
      <c r="D14" s="41" t="s">
        <v>156</v>
      </c>
      <c r="E14" s="23" t="s">
        <v>157</v>
      </c>
      <c r="F14" s="42" t="s">
        <v>158</v>
      </c>
      <c r="G14" s="88" t="s">
        <v>106</v>
      </c>
      <c r="H14" s="43" t="s">
        <v>134</v>
      </c>
      <c r="I14" s="89" t="s">
        <v>231</v>
      </c>
      <c r="J14" s="42"/>
      <c r="K14" s="44" t="s">
        <v>106</v>
      </c>
      <c r="L14" s="44" t="s">
        <v>106</v>
      </c>
      <c r="M14" s="42" t="s">
        <v>159</v>
      </c>
      <c r="N14" s="37"/>
      <c r="O14" s="23" t="s">
        <v>160</v>
      </c>
      <c r="P14" s="42"/>
    </row>
    <row r="15" spans="1:16" x14ac:dyDescent="0.25">
      <c r="A15" s="64"/>
    </row>
    <row r="16" spans="1:16" ht="15" hidden="1" customHeight="1" x14ac:dyDescent="0.25"/>
    <row r="17" spans="1:1" ht="15" customHeight="1" x14ac:dyDescent="0.25">
      <c r="A17" s="63"/>
    </row>
    <row r="18" spans="1:1" ht="15" customHeight="1" x14ac:dyDescent="0.25">
      <c r="A18" s="63"/>
    </row>
    <row r="19" spans="1:1" ht="15" customHeight="1" x14ac:dyDescent="0.25">
      <c r="A19" s="63"/>
    </row>
  </sheetData>
  <dataValidations count="4">
    <dataValidation type="list" allowBlank="1" showInputMessage="1" showErrorMessage="1" sqref="B3:B14" xr:uid="{5DAB7581-BECC-4AAE-B4EB-0F0CE0624B9D}">
      <formula1>"Statewide,Hospital,Regional"</formula1>
    </dataValidation>
    <dataValidation allowBlank="1" showInputMessage="1" showErrorMessage="1" sqref="A1:C1 A2:B2 E1:P2 N3:O14 D1:D14 A3:A14" xr:uid="{6FF9FDFE-57E4-4B40-95BF-0313A0EA7D2C}"/>
    <dataValidation type="list" allowBlank="1" showInputMessage="1" showErrorMessage="1" sqref="C3:C14" xr:uid="{BE7F5688-39D1-44B4-BDC7-642A24E40DC7}">
      <formula1>"Clinical Service Redesign,Transfers and Transport,Shared Purchasing,Information Technology,Workforce,Other"</formula1>
    </dataValidation>
    <dataValidation type="list" allowBlank="1" showInputMessage="1" showErrorMessage="1" sqref="H3:H14" xr:uid="{FCCD4BAD-48FB-4417-AFFB-DE15D84CD807}">
      <formula1>"Business Case,Invoice costs,Staff costs,Vendor quote,Other"</formula1>
    </dataValidation>
  </dataValidations>
  <pageMargins left="0.7" right="0.7" top="0.75" bottom="0.75" header="0.3" footer="0.3"/>
  <pageSetup orientation="portrait"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9"/>
  <sheetViews>
    <sheetView zoomScaleNormal="100" workbookViewId="0">
      <selection activeCell="D3" sqref="D3"/>
    </sheetView>
  </sheetViews>
  <sheetFormatPr defaultColWidth="8.85546875" defaultRowHeight="18.75" customHeight="1" x14ac:dyDescent="0.25"/>
  <cols>
    <col min="1" max="1" width="11.4257812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x14ac:dyDescent="0.25">
      <c r="A1" s="5" t="s">
        <v>161</v>
      </c>
      <c r="B1" s="1" t="s">
        <v>162</v>
      </c>
      <c r="C1" s="1" t="s">
        <v>163</v>
      </c>
      <c r="D1" s="1" t="s">
        <v>164</v>
      </c>
      <c r="E1" s="1" t="s">
        <v>165</v>
      </c>
      <c r="F1" s="6" t="s">
        <v>166</v>
      </c>
      <c r="G1" s="1" t="s">
        <v>167</v>
      </c>
      <c r="H1" s="1" t="s">
        <v>168</v>
      </c>
      <c r="I1" s="7" t="s">
        <v>169</v>
      </c>
    </row>
    <row r="2" spans="1:17" s="9" customFormat="1" ht="114" customHeight="1" x14ac:dyDescent="0.25">
      <c r="A2" s="62" t="s">
        <v>170</v>
      </c>
      <c r="B2" s="31" t="s">
        <v>171</v>
      </c>
      <c r="C2" s="52" t="s">
        <v>172</v>
      </c>
      <c r="D2" s="32" t="s">
        <v>173</v>
      </c>
      <c r="E2" s="30" t="s">
        <v>174</v>
      </c>
      <c r="F2" s="30" t="s">
        <v>175</v>
      </c>
      <c r="G2" s="33" t="s">
        <v>176</v>
      </c>
      <c r="H2" s="35" t="s">
        <v>177</v>
      </c>
      <c r="I2" s="34" t="s">
        <v>178</v>
      </c>
      <c r="J2" s="2"/>
      <c r="K2" s="2"/>
      <c r="L2" s="2"/>
      <c r="M2" s="2"/>
      <c r="N2" s="2"/>
      <c r="O2" s="2"/>
      <c r="P2" s="2"/>
      <c r="Q2" s="2"/>
    </row>
    <row r="3" spans="1:17" s="9" customFormat="1" ht="47.45" customHeight="1" x14ac:dyDescent="0.25">
      <c r="A3" s="48" t="s">
        <v>179</v>
      </c>
      <c r="B3" s="48"/>
      <c r="C3" s="48"/>
      <c r="D3" s="48"/>
      <c r="E3" s="49"/>
      <c r="F3" s="50"/>
      <c r="G3" s="48"/>
      <c r="H3" s="48"/>
      <c r="I3" s="46"/>
      <c r="J3" s="2"/>
      <c r="K3" s="2"/>
      <c r="L3" s="2"/>
      <c r="M3" s="2"/>
      <c r="N3" s="2"/>
      <c r="O3" s="2"/>
      <c r="P3" s="2"/>
      <c r="Q3" s="2"/>
    </row>
    <row r="4" spans="1:17" s="9" customFormat="1" ht="47.45" customHeight="1" x14ac:dyDescent="0.25">
      <c r="A4" s="48" t="s">
        <v>180</v>
      </c>
      <c r="B4" s="48"/>
      <c r="C4" s="48"/>
      <c r="D4" s="48"/>
      <c r="E4" s="49"/>
      <c r="F4" s="50"/>
      <c r="G4" s="48"/>
      <c r="H4" s="48"/>
      <c r="I4" s="46"/>
    </row>
    <row r="5" spans="1:17" x14ac:dyDescent="0.25"/>
    <row r="9" spans="1:17" s="4" customFormat="1" ht="104.25" customHeight="1" x14ac:dyDescent="0.25">
      <c r="A9" s="99" t="s">
        <v>181</v>
      </c>
      <c r="B9" s="99"/>
      <c r="C9" s="99"/>
      <c r="D9" s="99"/>
      <c r="E9" s="99"/>
      <c r="F9" s="99"/>
    </row>
  </sheetData>
  <mergeCells count="1">
    <mergeCell ref="A9:F9"/>
  </mergeCells>
  <dataValidations count="4">
    <dataValidation type="list" allowBlank="1" showInputMessage="1" showErrorMessage="1" sqref="G2:G4" xr:uid="{A0615E9F-3DCD-4FAA-9DAE-D98946827056}">
      <formula1>"Low,Medium,High"</formula1>
    </dataValidation>
    <dataValidation type="list" allowBlank="1" showInputMessage="1" showErrorMessage="1" sqref="I2:I4" xr:uid="{FC6CB2DC-4B6E-46D2-97BA-D76BBF2B9896}">
      <formula1>"Open,Monitoring,Mitigated,Closed"</formula1>
    </dataValidation>
    <dataValidation type="list" allowBlank="1" showInputMessage="1" showErrorMessage="1" sqref="B2:C4" xr:uid="{E455AD5F-B350-44C8-8941-C213287E425D}">
      <formula1>"Work Force, Acess to Care, Quality of Care, Financial Stability, Risk to area residents,Legal,Regulatory,Other"</formula1>
    </dataValidation>
    <dataValidation type="list" allowBlank="1" showInputMessage="1" showErrorMessage="1" sqref="H2:H4"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E4" sqref="E4"/>
    </sheetView>
  </sheetViews>
  <sheetFormatPr defaultColWidth="8.85546875" defaultRowHeight="29.25" customHeight="1" x14ac:dyDescent="0.25"/>
  <cols>
    <col min="1" max="1" width="15.42578125" style="47" customWidth="1"/>
    <col min="2" max="2" width="31.5703125" style="47" customWidth="1"/>
    <col min="3" max="3" width="29.85546875" style="47" customWidth="1"/>
    <col min="4" max="5" width="36.5703125" style="47" customWidth="1"/>
    <col min="6" max="6" width="34.42578125" style="47" customWidth="1"/>
    <col min="7" max="7" width="27.5703125" style="47" customWidth="1"/>
    <col min="8" max="8" width="32.42578125" style="47" customWidth="1"/>
    <col min="9" max="16384" width="8.85546875" style="47"/>
  </cols>
  <sheetData>
    <row r="1" spans="1:10" s="9" customFormat="1" ht="34.5" customHeight="1" x14ac:dyDescent="0.25">
      <c r="A1" s="8" t="s">
        <v>182</v>
      </c>
      <c r="B1" s="7" t="s">
        <v>183</v>
      </c>
      <c r="C1" s="8" t="s">
        <v>184</v>
      </c>
      <c r="D1" s="8" t="s">
        <v>185</v>
      </c>
      <c r="E1" s="7" t="s">
        <v>186</v>
      </c>
      <c r="F1" s="7" t="s">
        <v>187</v>
      </c>
      <c r="G1" s="7" t="s">
        <v>188</v>
      </c>
      <c r="H1" s="8" t="s">
        <v>189</v>
      </c>
    </row>
    <row r="2" spans="1:10" s="9" customFormat="1" ht="29.25" customHeight="1" x14ac:dyDescent="0.25">
      <c r="A2" s="46" t="s">
        <v>190</v>
      </c>
      <c r="B2" s="46"/>
      <c r="C2" s="46"/>
      <c r="D2" s="46"/>
      <c r="E2" s="46"/>
      <c r="F2" s="46"/>
      <c r="G2" s="46"/>
      <c r="H2" s="46"/>
    </row>
    <row r="3" spans="1:10" s="9" customFormat="1" ht="29.25" customHeight="1" x14ac:dyDescent="0.25">
      <c r="A3" s="46" t="s">
        <v>191</v>
      </c>
      <c r="B3" s="46"/>
      <c r="C3" s="46"/>
      <c r="D3" s="46"/>
      <c r="E3" s="46"/>
      <c r="F3" s="46"/>
      <c r="G3" s="46"/>
      <c r="H3" s="46"/>
    </row>
    <row r="4" spans="1:10" s="9" customFormat="1" ht="29.25" customHeight="1" x14ac:dyDescent="0.25">
      <c r="A4" s="46"/>
      <c r="B4" s="46"/>
      <c r="C4" s="46"/>
      <c r="D4" s="46"/>
      <c r="E4" s="46"/>
      <c r="F4" s="46"/>
      <c r="G4" s="46"/>
      <c r="H4" s="46"/>
    </row>
    <row r="5" spans="1:10" s="9" customFormat="1" ht="29.25" customHeight="1" x14ac:dyDescent="0.25">
      <c r="A5" s="46"/>
      <c r="B5" s="46"/>
      <c r="C5" s="46"/>
      <c r="D5" s="46"/>
      <c r="E5" s="46"/>
      <c r="F5" s="46"/>
      <c r="G5" s="46"/>
      <c r="H5" s="46"/>
    </row>
    <row r="6" spans="1:10" s="9" customFormat="1" ht="29.25" customHeight="1" x14ac:dyDescent="0.25">
      <c r="A6" s="46"/>
      <c r="B6" s="46"/>
      <c r="C6" s="46"/>
      <c r="D6" s="46"/>
      <c r="E6" s="46"/>
      <c r="F6" s="46"/>
      <c r="G6" s="46"/>
      <c r="H6" s="46"/>
    </row>
    <row r="7" spans="1:10" s="9" customFormat="1" ht="29.25" customHeight="1" x14ac:dyDescent="0.25">
      <c r="A7" s="46"/>
      <c r="B7" s="46"/>
      <c r="C7" s="46"/>
      <c r="D7" s="46"/>
      <c r="E7" s="46"/>
      <c r="F7" s="46"/>
      <c r="G7" s="46"/>
      <c r="H7" s="46"/>
    </row>
    <row r="8" spans="1:10" s="9" customFormat="1" ht="29.25" customHeight="1" x14ac:dyDescent="0.25">
      <c r="A8" s="46"/>
      <c r="B8" s="46"/>
      <c r="C8" s="46"/>
      <c r="D8" s="46"/>
      <c r="E8" s="46"/>
      <c r="F8" s="46"/>
      <c r="G8" s="46"/>
      <c r="H8" s="46"/>
    </row>
    <row r="13" spans="1:10" ht="29.25" customHeight="1" x14ac:dyDescent="0.25">
      <c r="A13" s="99" t="s">
        <v>192</v>
      </c>
      <c r="B13" s="99"/>
      <c r="C13" s="99"/>
      <c r="D13" s="99"/>
      <c r="E13" s="99"/>
      <c r="F13" s="99"/>
      <c r="G13" s="99"/>
      <c r="H13" s="99"/>
      <c r="I13" s="99"/>
      <c r="J13" s="99"/>
    </row>
    <row r="24" spans="1:2" ht="29.25" customHeight="1" x14ac:dyDescent="0.25">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73WRFNMZF6N2-353167544-4425</_dlc_DocId>
    <_dlc_DocIdUrl xmlns="c89e416c-4c29-47f7-9a79-f2bb4fe9a69b">
      <Url>https://vermontgov.sharepoint.com/teams/AHS-COHealthCareReformTeam/_layouts/15/DocIdRedir.aspx?ID=73WRFNMZF6N2-353167544-4425</Url>
      <Description>73WRFNMZF6N2-353167544-4425</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0CE1BC1-639F-4D06-885D-1C2B20D17F7E}">
  <ds:schemaRefs>
    <ds:schemaRef ds:uri="http://schemas.microsoft.com/sharepoint/v3/contenttype/forms"/>
  </ds:schemaRefs>
</ds:datastoreItem>
</file>

<file path=customXml/itemProps2.xml><?xml version="1.0" encoding="utf-8"?>
<ds:datastoreItem xmlns:ds="http://schemas.openxmlformats.org/officeDocument/2006/customXml" ds:itemID="{F624D926-99FA-4925-BF67-A819A311E829}"/>
</file>

<file path=customXml/itemProps3.xml><?xml version="1.0" encoding="utf-8"?>
<ds:datastoreItem xmlns:ds="http://schemas.openxmlformats.org/officeDocument/2006/customXml" ds:itemID="{BCE64B08-F34E-458C-A905-F0FA03EEB7A5}">
  <ds:schemaRefs>
    <ds:schemaRef ds:uri="2db36caa-9571-4d48-b901-cf0f517dd1a2"/>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55b80313-b6f2-481a-928b-7b64bec9a78b"/>
    <ds:schemaRef ds:uri="http://purl.org/dc/dcmitype/"/>
    <ds:schemaRef ds:uri="http://purl.org/dc/terms/"/>
  </ds:schemaRefs>
</ds:datastoreItem>
</file>

<file path=customXml/itemProps4.xml><?xml version="1.0" encoding="utf-8"?>
<ds:datastoreItem xmlns:ds="http://schemas.openxmlformats.org/officeDocument/2006/customXml" ds:itemID="{3E3DF64E-7216-4AEA-A4BF-D86785E70E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1.Hospital Information</vt:lpstr>
      <vt:lpstr>2.Planned Transformation</vt:lpstr>
      <vt:lpstr>3.Risk Mitigation</vt:lpstr>
      <vt:lpstr>4. Communication Strategy</vt:lpstr>
      <vt:lpstr>'1.Hospital Information'!Print_Area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Jonathan Billings</cp:lastModifiedBy>
  <cp:revision/>
  <dcterms:created xsi:type="dcterms:W3CDTF">2025-10-30T14:43:30Z</dcterms:created>
  <dcterms:modified xsi:type="dcterms:W3CDTF">2026-01-15T21:15:13Z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af6c7c7e-27d2-4582-9a65-476a8f2eb62b</vt:lpwstr>
  </property>
  <property fmtid="{D5CDD505-2E9C-101B-9397-08002B2CF9AE}" pid="4" name="MediaServiceImageTags">
    <vt:lpwstr/>
  </property>
</Properties>
</file>