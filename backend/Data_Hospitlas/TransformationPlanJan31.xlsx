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Katelyn.Carrell\Desktop\"/>
    </mc:Choice>
  </mc:AlternateContent>
  <xr:revisionPtr revIDLastSave="2" documentId="8_{3762506C-1592-4315-A6C1-6995567C849A}" xr6:coauthVersionLast="47" xr6:coauthVersionMax="47" xr10:uidLastSave="{372F8977-D74D-4727-B121-0CDDFD5707F0}"/>
  <bookViews>
    <workbookView xWindow="28680" yWindow="-120" windowWidth="29040" windowHeight="15720" firstSheet="3" activeTab="2" xr2:uid="{0C217AEB-ACF8-412A-87B5-FA3F27C51D23}"/>
  </bookViews>
  <sheets>
    <sheet name="Instructions" sheetId="5" r:id="rId1"/>
    <sheet name="1.Hospital Information" sheetId="2" r:id="rId2"/>
    <sheet name="2.Planned Transformation" sheetId="1" r:id="rId3"/>
    <sheet name="3.Risk Mitigation" sheetId="3" r:id="rId4"/>
    <sheet name="4. Communication Strategy" sheetId="4" r:id="rId5"/>
  </sheets>
  <definedNames>
    <definedName name="_xlnm.Print_Area" localSheetId="1">'1.Hospital Information'!$A$1:$D$16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<sst xmlns="http://schemas.openxmlformats.org/spreadsheetml/2006/main" count="521" uniqueCount="393">
  <si>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</si>
  <si>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</si>
  <si>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</si>
  <si>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</si>
  <si>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</si>
  <si>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</si>
  <si>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</si>
  <si>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charset val="1"/>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</si>
  <si>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</si>
  <si>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</si>
  <si>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</si>
  <si>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</si>
  <si>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</si>
  <si>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</si>
  <si>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charset val="1"/>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</si>
  <si>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</si>
  <si>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charset val="1"/>
      </rPr>
      <t>​</t>
    </r>
    <r>
      <rPr>
        <sz val="11"/>
        <rFont val="Aptos"/>
        <charset val="1"/>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</si>
  <si>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</si>
  <si>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</si>
  <si>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</si>
  <si>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</si>
  <si>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</si>
  <si>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</si>
  <si>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</si>
  <si>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</si>
  <si>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</si>
  <si>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</si>
  <si>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</si>
  <si>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</si>
  <si>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</si>
  <si>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</si>
  <si>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</si>
  <si>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</si>
  <si>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Hospital Name</t>
  </si>
  <si>
    <t>Grace Cottage Family Health and Hospital</t>
  </si>
  <si>
    <t>County</t>
  </si>
  <si>
    <t>Windham</t>
  </si>
  <si>
    <t>TIN</t>
  </si>
  <si>
    <t>CCN</t>
  </si>
  <si>
    <t>Hospital Number</t>
  </si>
  <si>
    <t>Chief Executive Officer</t>
  </si>
  <si>
    <t>L Olivia Sweetnam</t>
  </si>
  <si>
    <t>Senior Clinical Lead</t>
  </si>
  <si>
    <t>Dr Jennifer Zweig</t>
  </si>
  <si>
    <t>Senior Finance Lead</t>
  </si>
  <si>
    <t>Stephen Brown</t>
  </si>
  <si>
    <t>Senior Operations Lead</t>
  </si>
  <si>
    <t>Chris Boucher/Olivia Sweetnam</t>
  </si>
  <si>
    <t>Other Senior Leadership</t>
  </si>
  <si>
    <t>None</t>
  </si>
  <si>
    <t>Transformation Champion (who will own this work)</t>
  </si>
  <si>
    <t>Olivia Sweetnam</t>
  </si>
  <si>
    <t>Type of Hospital (PPS or CAH)</t>
  </si>
  <si>
    <t>CAH</t>
  </si>
  <si>
    <t>Hospital ownership (independent or system)</t>
  </si>
  <si>
    <t>Independent</t>
  </si>
  <si>
    <t>Number of hospital staffed beds</t>
  </si>
  <si>
    <t>19 licensed, 16 actual</t>
  </si>
  <si>
    <t>Electronic health record system</t>
  </si>
  <si>
    <t>Cerner</t>
  </si>
  <si>
    <t xml:space="preserve">Transformation Goal                          (hospital, regional, statewide)                              </t>
  </si>
  <si>
    <t>Does this goal focus on hospital or regional objectives                              DROP DOWN</t>
  </si>
  <si>
    <t>Does this goal focus on one of the followng themes                       DROP DOWN</t>
  </si>
  <si>
    <t xml:space="preserve">What Action Steps will be taken to accomplish the Transformation Goal?  List up to 12 Action Steps for each Transformation Goal.   Include specific details on how these goals will be planned and executed.                                                                                         </t>
  </si>
  <si>
    <t xml:space="preserve">List any stakeholders that will require coordination to achieve this goal (ie; hospitals,providers, shared purchasing entities)                           </t>
  </si>
  <si>
    <t xml:space="preserve">Explain what actions have been and will be taken to engage stakeholders, if applicable    </t>
  </si>
  <si>
    <t>What is the dollar value of investment required?            DOLLAR ENTRY</t>
  </si>
  <si>
    <t>How was the investment dollar value determined? DROP DOWN</t>
  </si>
  <si>
    <t xml:space="preserve">What are the potential cost savings?  Include method of analysis or guiding resources                   </t>
  </si>
  <si>
    <t xml:space="preserve">What data measure(s) will be used to determine success?    Metrics should measure progress and long term outcomes.                           </t>
  </si>
  <si>
    <t xml:space="preserve">What is the Goal start date?  </t>
  </si>
  <si>
    <t>Target completion date</t>
  </si>
  <si>
    <t xml:space="preserve">Who is responsible to ensure this Goal is carried out? Enter person's last name, not title.                   </t>
  </si>
  <si>
    <t xml:space="preserve">Briefly summarize your sustainability plan                       </t>
  </si>
  <si>
    <t xml:space="preserve">Are there workforce implications?    </t>
  </si>
  <si>
    <t xml:space="preserve">Please add additonal notes, concerns or barriers if needed                                                                                                           </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</si>
  <si>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</si>
  <si>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</si>
  <si>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</si>
  <si>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</si>
  <si>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</si>
  <si>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</si>
  <si>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</si>
  <si>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</si>
  <si>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</si>
  <si>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</si>
  <si>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</si>
  <si>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</si>
  <si>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</si>
  <si>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</si>
  <si>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</si>
  <si>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</si>
  <si>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r>
      <rPr>
        <u/>
        <sz val="11"/>
        <color theme="3" tint="0.249977111117893"/>
        <rFont val="Aptos Narrow"/>
        <scheme val="minor"/>
      </rPr>
      <t>EXAMPLE:</t>
    </r>
    <r>
      <rPr>
        <sz val="11"/>
        <color theme="3" tint="0.249977111117893"/>
        <rFont val="Aptos Narrow"/>
        <scheme val="minor"/>
      </rPr>
      <t xml:space="preserve"> Implement hospital capacity management strategy.</t>
    </r>
  </si>
  <si>
    <t>Hospital</t>
  </si>
  <si>
    <t>Transfers and Transport</t>
  </si>
  <si>
    <t xml:space="preserve">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Implement technology, workflows, training, and staffing models identified for hospital focused interventions (Stand up hospital capacity management and transfer team, Complete Emergency Department Triage Redesign, Implement 24/48 hour discharge dashboards)
5.	Participate in statewide pulse check calls with tertiary facilities. 
6.	Work with Primary Care and other community partners to divert non-emergency care to lower intensity settings as appropriate.
7.	Monitor key indicators and adapt/adopt processes as required. 
</t>
  </si>
  <si>
    <t xml:space="preserve">Patients
Hospital Staff (Physicians/Providers, Nurses, Allied Health, Support Staff)
Local Residential Care 
Home Health and Hospice
Mobile Integrated Health
Hospital Leadership and Administration
Local EMS Providers
UVMMC/DH Transfer Centers
</t>
  </si>
  <si>
    <t xml:space="preserve">Formed stakeholder committee
Conducted Hospital Staff Surveys
Engaged Patient and Family Advisory Committee
</t>
  </si>
  <si>
    <t xml:space="preserve">•	ED Boarding Times (target &lt;= 4hrs)
•	Inpatient Bed Occupancy Rate (target: 80-85%)
•	Percentage of daily discharges before 11am (target: 25-30%)
•	Avg length of stay by service line
•	Avg time from transfer request to acceptance
•	Avg time from acceptance to patient arrival
•	Percentage of transfers accepted or denied
</t>
  </si>
  <si>
    <t>Morgan Smith</t>
  </si>
  <si>
    <t>Cost to implement includes estimate for software system upgrades, staffing and training, and integration with local EMS</t>
  </si>
  <si>
    <t>Expansion outpatient rehab</t>
  </si>
  <si>
    <t>Regional</t>
  </si>
  <si>
    <t>Other</t>
  </si>
  <si>
    <t xml:space="preserve">This project entailed a switch of our admin space building with our outpatient rehab building in order to give our outpatient rehab more space. </t>
  </si>
  <si>
    <t>Hospital leadership and administration
Rehab staff
Facilities and maintenance teams</t>
  </si>
  <si>
    <t>Invoice costs</t>
  </si>
  <si>
    <t>Time to close outpatient referral, tracked in quality committee.
Number of outpatient rehab visits per day. 
Staff satisfaction</t>
  </si>
  <si>
    <t>Completed FY25</t>
  </si>
  <si>
    <t>Crystal Mansfield
Olivia Sweetnam</t>
  </si>
  <si>
    <t xml:space="preserve">We continue to be very busy in outpatient rehab. We routinely see upwards of 50-60 people a day in outpatient rehab. We have specialized therapists including pelvic floor and pediatrics. We also have a speech and language therapist here part time. </t>
  </si>
  <si>
    <t xml:space="preserve">We continiously have 1 or 2 travelers for rehab which are OT and PT and float to our inpatient unit as well as seeing outpatients. We need these traveler staff to keep up with the volume. </t>
  </si>
  <si>
    <t xml:space="preserve">We received a very generous $500,000 gift after the space was completed which helped greatly to offset the cost of renovation. </t>
  </si>
  <si>
    <t>Remote work evaluation</t>
  </si>
  <si>
    <t>Clinical Service Redesign</t>
  </si>
  <si>
    <t xml:space="preserve">This project entailed a dedicated review of all non-clinical staff to determine which services could be moved to remote or hybrid in order to give more space to our clinical staff in our Rural Health Clinic. </t>
  </si>
  <si>
    <t>Hospital leadership and administration
Hospital and clinic employees
IT and IS as well as HR</t>
  </si>
  <si>
    <t>Internal stakeholders</t>
  </si>
  <si>
    <t>Free up of spaces that can be used clinically.</t>
  </si>
  <si>
    <t>Clinic volume
Staff satisfaction</t>
  </si>
  <si>
    <t>Completed</t>
  </si>
  <si>
    <t>Chris Boucher
Olivia Sweetnam</t>
  </si>
  <si>
    <t xml:space="preserve">We have once again earned many awards for workplace satisfaction so I believe it was a positive change. We continue to have "hoteling" offices for some staff that work in a hybrid situation. </t>
  </si>
  <si>
    <t>Clinic capital campaign</t>
  </si>
  <si>
    <t xml:space="preserve">We are renovating our clinic space and creating a new primary care space that will fit our current provider, staff and patient load. We recently received our act 250 and have fundraised more than $16.5M of the $24 total cost. We are currently focused on fundraising as all other planning steps have been completed. We are very excited about this transformational project. </t>
  </si>
  <si>
    <t>Hospital leadership and administration
Community members
Local legislative team
Clinic staff
Referral partners</t>
  </si>
  <si>
    <t>Much community awareness
Partnership with other agencies</t>
  </si>
  <si>
    <t>$24M</t>
  </si>
  <si>
    <t>Vendor quote</t>
  </si>
  <si>
    <t>We ancitipate we will be much more efficient in this space as we will have 2 room per provider as opposed to the old house where the clinic currently operates</t>
  </si>
  <si>
    <t>Clinic throughput
Patient satisfaction
Provider retention and engagement
Clinic staff retention and engagement</t>
  </si>
  <si>
    <t>Spring 2026</t>
  </si>
  <si>
    <t>18 months from start of construction</t>
  </si>
  <si>
    <t>Olivia Sweetnam
Chris Boucher</t>
  </si>
  <si>
    <t>None, it is built for our current workforce, no additional providers or support staff needed</t>
  </si>
  <si>
    <t xml:space="preserve">We would be very interested in discussing how federal transformation dollars could assist in this project. Not only is primary care sorely needed in this area, but this also includes more space for same day access, thereby reducing emergency department reliance. Also, as noted in another section, we previously applied for a HRSA grant (not funded) to extend MIH. We would also offer that part of this space would be used as a GCH MIH hub in partnership with Rescue. </t>
  </si>
  <si>
    <t>Town wide EP</t>
  </si>
  <si>
    <t xml:space="preserve">After two separate psych elopements from our ED that neccessitated a lockdown of our hospital and neighboring schools, we have taken multiple steps
1. We have created a virtual incident command center for GCH to enhance communication and awareness
2. We met with town officials to walk through communication plan including the use of emergency alert system
3. GCH assisted town with workflow of notification to other town buildings including post office, library etc
4. We applied for a department of homeland security grant to build out security features </t>
  </si>
  <si>
    <t>Hospital leadership and administration
Community leaders
Hospital employees and providers</t>
  </si>
  <si>
    <t>Noted in action steps</t>
  </si>
  <si>
    <t>Staff cost in time. Noother costs as renovations covered by Homeland Security grant</t>
  </si>
  <si>
    <t>Staff costs</t>
  </si>
  <si>
    <t xml:space="preserve">No cost savings, but we believe it is our responsibility to participate as good partners with our community and we are happy to donate staff time to that end. </t>
  </si>
  <si>
    <t>Crystal Durocher
Olivia Sweetnam</t>
  </si>
  <si>
    <t>Denial reduction</t>
  </si>
  <si>
    <t xml:space="preserve">We have seen a dramatic reduction in denials in FY25 as we have focused on concurrent review for acute admissions, docomentation, provider education and peer to peer appeals. In FY 2024 we had $76,160.43 in denails which was reduced to $1,274 in FY 2025. </t>
  </si>
  <si>
    <t>Hospital leadership and administration
Providers</t>
  </si>
  <si>
    <t>Education to all hospitalists</t>
  </si>
  <si>
    <t>$75,000 saved/ earned</t>
  </si>
  <si>
    <t xml:space="preserve">The is revenue from care we appropriately provided to our patients but due to insurance hoops, or documentation challenges- we were not paid. Our consistent effort in this area has been extremely successful. </t>
  </si>
  <si>
    <t>Continued measurement of denials</t>
  </si>
  <si>
    <t>Ongoing</t>
  </si>
  <si>
    <t>Completed first year</t>
  </si>
  <si>
    <t>Susan Kapral
Dr Jen Zweig</t>
  </si>
  <si>
    <t>Continued concurrent review between UR, coding and billing teams and hospitalist medical provider- good teamwork and excellent communication are ongoing</t>
  </si>
  <si>
    <t>Primary Care Workflow Optimization</t>
  </si>
  <si>
    <t xml:space="preserve">New leadership took on a major project of clinical workflow redesign. This included:
1. New pod model
2. Consistent producitivty expectations and panel size standards
3. Productivity dashboards built for all providers, individualized
4. Consistent centralized scheduling practices
5. Ambient listening AI through Cerner/Oracle made possible from grant from Coverys- insurance carrier
6. Focus on reducing no-show apts </t>
  </si>
  <si>
    <t xml:space="preserve">Hospital leadership and administration
Clinic medical director
Scheduling staff
Clinic support staff </t>
  </si>
  <si>
    <t>Cost avoidance</t>
  </si>
  <si>
    <t xml:space="preserve">This focus on consistency in practice is leading to a clinic turnaround from being in the red in FY25 to projected positive in FY26. But most importantly, leading to improved access and satisfaction from our patients. </t>
  </si>
  <si>
    <t xml:space="preserve">Productivity measures (encounters and RVU)
Provider and staff satisfaction
</t>
  </si>
  <si>
    <t>FY25</t>
  </si>
  <si>
    <t>ongoing</t>
  </si>
  <si>
    <t>Chris Boucher
Lynn Kearney</t>
  </si>
  <si>
    <t xml:space="preserve">We are continuing to recruit primary care providers. Recruiting in rural areas in Vermont continues to be challening. </t>
  </si>
  <si>
    <t xml:space="preserve">In order to meet the growing primary care demand in our region, we need to invest in five pillars: patient engagement/experience, technology, physical campus, logical/modern work approaches, and sustaining/growing our team.  This is our initial logical drive to make lean systems and find where best to apply leverage for the most effecient and quality delivery of care.   Based on this work we've arrived at the need for several of the projects listed below. </t>
  </si>
  <si>
    <t>Medication dispensing systems for our ambulatory care areas.</t>
  </si>
  <si>
    <t xml:space="preserve">We have determined an EMR interfaced with centralized dispensing and inventory medication system for our clinic would be ideal. 
This process would insert a safety check to assure correct medication administration inthe clinic.
It also assists in inventory controls and centralized montioring both in storage conditions, lot numbers, and expiration dates.  
This allows pharmacy oversite while easing administrative burden with the primary benefit of significantly enhancing patient safety and reducing medication errors. </t>
  </si>
  <si>
    <t>Family Practice and Pharmacy Leaderhips.  Pyxis/BD/Carefusion and oracle cerner EMR.</t>
  </si>
  <si>
    <t>All stakeholders have been engaged and workflows demonstrated.</t>
  </si>
  <si>
    <t>There is much evidence on the cost of medication errors.  These systems are proven to reduce them.  Also better inventory oversite leads to less stock outs.</t>
  </si>
  <si>
    <t>Medication errors and inventory.</t>
  </si>
  <si>
    <t xml:space="preserve">Not yet determined </t>
  </si>
  <si>
    <t>Chris Boucher and Stephen Kapral</t>
  </si>
  <si>
    <t>Primary expense is interface build and profession services.  Ongoing lease expense for the dispensing cabinet to paid out of operating revenue.</t>
  </si>
  <si>
    <t>Technology and Team Pillar</t>
  </si>
  <si>
    <t>Same day clinic access build out to meet the on demand requirement for episodic care and reduce ED burden.</t>
  </si>
  <si>
    <t xml:space="preserve">Part of the state transformation grant money is being used to build out the same day access clinic in our primary care space.   This is underway and as of 1/26 we have a APP who is now full time doing same day access visits.  This serves to open space in primary care schedules and reduce ED volume by seeing lower triage level conditions.  At this time, we do not consider it urgent care, but we hope to take non empaneled walk ins in the future.  There is a portion of our new clinic building that will serve this function. </t>
  </si>
  <si>
    <t>Patients, internal clinical leadership, Facilities management</t>
  </si>
  <si>
    <t xml:space="preserve">All stakeholders engaged and the initial part of the program is off the ground. </t>
  </si>
  <si>
    <t>Reduce burden on Emergency department, increase ambulatory revenue for reinvestment in capacity growth.</t>
  </si>
  <si>
    <t>ED utilization
Same day visit volume</t>
  </si>
  <si>
    <t xml:space="preserve">Ongoing staff costs will be covered by added revenue. </t>
  </si>
  <si>
    <t xml:space="preserve">Small portion of this expense covered in state microgrant- the state money covers physical space optimization. </t>
  </si>
  <si>
    <t xml:space="preserve">ACO participation and value based care initiatives.  Care management and advanced primary care inititiaves. </t>
  </si>
  <si>
    <t>ACO participation for medicare and work with VATICA to integrate value based initiatives across commercial payers.  Working towards a population health appraoch with emphasis on quality and value.</t>
  </si>
  <si>
    <t>Patients, Medical Leaderships, South Eastern VT ACO cohort.</t>
  </si>
  <si>
    <t xml:space="preserve">Biweekly/Monthly internal and ACO meetings.  Multiple internal quality efforts. </t>
  </si>
  <si>
    <t xml:space="preserve">Expect additional incentive payments. Unsure at this time what staff costs will be- but multiple staff members time will be utilized. </t>
  </si>
  <si>
    <t>Many quality metrics, population health statistics, and incentive revenue</t>
  </si>
  <si>
    <t>Chris Boucher</t>
  </si>
  <si>
    <t>This is a good example of a regional effort to montior the quality of care provided and cost.</t>
  </si>
  <si>
    <t>Improved patient access and throughput leveraging modern technological advances.</t>
  </si>
  <si>
    <t>Information Technology</t>
  </si>
  <si>
    <t>There are many ways that we would like to improve patient access and throughput using our EMR and existing tech. These include:
1. Offer the ability for our patients to complete paper work and forms ahead of scheduled visits
2. Perform self scheduling and rescheduling of appointments
3. Managing payment plans and pay bills from their personal portal account
4. Attend virtual video visits directly from their portal to our EMR. 
 This work will greatly decrease administrative burden, reduce wait times, enhance producitvity, reduce clinican burnout, reduce no show rates, improve patient satisfaction and improve self pay balance payment capture.</t>
  </si>
  <si>
    <t>Medical Leadership, ambulatory clinical staff, registration/scheduling, billing/medical records, and patients.</t>
  </si>
  <si>
    <t>This project is in the early planning phase.  We have had demonstrations with key stakeholders and obtained quotes from our EMR vendor.</t>
  </si>
  <si>
    <t>Administrative Expense reduction.  Productivity improvements reducing net expense/encounter.</t>
  </si>
  <si>
    <t>Provider productivity,  no show rates, throughput metrics, qualitative patient and clinical staff data collection.</t>
  </si>
  <si>
    <t>Undertermined</t>
  </si>
  <si>
    <t xml:space="preserve">Due to the expense and our requirement to cut expenses for FY25, we have not been able to prioritize this work. We would be very interested in using federal transformation dollars for this project. </t>
  </si>
  <si>
    <t>Effeciency and modern technology supports recruitment and retention.</t>
  </si>
  <si>
    <t>Technology, Team and Patient Engagement</t>
  </si>
  <si>
    <t>Internal facility Interoperability across EMR third party systems</t>
  </si>
  <si>
    <t>There are many ways we would like to improve patient care and quality of care using our existing EMR and technology, but are limited financially in supporting interface build and Cerner fees. Some of the projects we would like to include are:
1. Nurse call system/bed board
2. IV pumps interface to Cerner
3. Telemetry monitoring to Cerner
4. Vital sign machine interface to Cerner
5. Glucometer interface to Cerner
6. Virtual video vist interface
7. Clinical communication tool interfaces</t>
  </si>
  <si>
    <t>Internal technology leaders, clinical staff, involved third parties, and the EMR vendor.</t>
  </si>
  <si>
    <t>This host of projects has been discussed in various venues for many years but due to initial cost, has not been pursued.</t>
  </si>
  <si>
    <t>Improved patient safety and reduced clinican burden.</t>
  </si>
  <si>
    <t>Timeliness and accuracy of documentation, nurse call room response times (accuracy of data collection). Error reduction from transcribing (instead of direct data flow must transcribe values now)</t>
  </si>
  <si>
    <t xml:space="preserve">There are no ongoing fees for interface builds.  Once completed we will have this in perpetuity. This is a one time cost and would be a great candidate for federal transformation dollars. </t>
  </si>
  <si>
    <t>Technology</t>
  </si>
  <si>
    <t xml:space="preserve">External facility Interoperability across foreign systems/or adoption of singular systems to improve regional resource sharing and data collection/analysis in the referral care continuum. </t>
  </si>
  <si>
    <t>Statewide</t>
  </si>
  <si>
    <t>GCFHH works with multiple outside/regional partners operating in different electronic medical records.  The process from order to completion is arduous and full of administrative waste.  It leads to lost results and provider burden due to inability to safely communicate in a secure way--often relying on antiquated and insecure technologies.</t>
  </si>
  <si>
    <t>State technology leaders and law makers, medical leadership, involved third parties, VITL, and EMR vendors.</t>
  </si>
  <si>
    <t>This has been discussed in multiple forums through the years</t>
  </si>
  <si>
    <t xml:space="preserve">Not yet quoted: a consultant is needed. </t>
  </si>
  <si>
    <t>Essentially we need a way to order a referral, have it land where its intended, and the result come back to us seamlessly.  Along with this, we need our providers to have open communication with those consultants using effecient and secure technologies.  It would surprise the average lay person to know how difficult and wasteful this process is now.</t>
  </si>
  <si>
    <t xml:space="preserve">Internal staff duress and real time location tracking network. </t>
  </si>
  <si>
    <t xml:space="preserve">These systems allow for staff to be located wherever they are with a warable button/badge they can push for help.  This is in response to ever rising risk of violent behavior in the workplace.   It also works as an asset tagging system for realtime location of bioemedical and IT equipment. </t>
  </si>
  <si>
    <t>Nursing Leadership, Operations, Third party vendor.</t>
  </si>
  <si>
    <t>All stakeholders are engaged and waiting for the project to be funded.</t>
  </si>
  <si>
    <t>Staff safety and rapid response to minimize real or perceived trauma and its long term impacts to the workforce.</t>
  </si>
  <si>
    <t xml:space="preserve">Staff Perception and timeliness of response. </t>
  </si>
  <si>
    <t>Chris Boucher and Crystal Durocher</t>
  </si>
  <si>
    <t>Expansion of CT imaging options (low dose lung cancer screening)</t>
  </si>
  <si>
    <t xml:space="preserve">Expanding CT servies to the utmost ability within our equipment and software. We also would like to expand to calcium channel scoring, which our machine can also do but are limited by our ability to find radiology vendor who can absorb more volume.
This could be an area where perhaps a Vermont owned/managed radiology group or multiple site employed radiologist would be helpful. 
We have approached Vrad our current vendor who is refusing to take increased volume. We have also approached Dartmouth who are also unable to absorb our volume. We have not yet talked to UVM. </t>
  </si>
  <si>
    <t>Clinical staff
Medical leadership</t>
  </si>
  <si>
    <t xml:space="preserve">Cost savings that patients close by to GCH would not need to travel for this study. The cost to add this study on our end would be minimal. </t>
  </si>
  <si>
    <t xml:space="preserve">Chris Boucher
</t>
  </si>
  <si>
    <t xml:space="preserve">Cilnician Workstation and Laptop refresh. </t>
  </si>
  <si>
    <t xml:space="preserve">We have 50 moblile workstations that clinicans use when treating patients up for replacement in Q1 2027.    Presently, they over 6 years old and showing signs of wear.  This impacts productivity and statisfaction. </t>
  </si>
  <si>
    <t>Clincial and IT staff.</t>
  </si>
  <si>
    <t>Required infrastructure</t>
  </si>
  <si>
    <t>IT help desk tickets</t>
  </si>
  <si>
    <t>Q1 2027</t>
  </si>
  <si>
    <t>Required for employees to do their jobs.</t>
  </si>
  <si>
    <t xml:space="preserve">Failing computers is proven to be a serious cause of burnout and reduced staff satisfaction.  It causes bottlenecks and reduced throughput times.  Its an often overlooked aspect of clinical effecicency and access. </t>
  </si>
  <si>
    <t>Inpatient Patient TV and Cable Systems.</t>
  </si>
  <si>
    <t>Comcast/Xfinity installed a residential cable TV system in our hospital.  For this, patients cannot use their call bell remotes to operate the channels on the cable TV.  They do need to use the call bell remote to turn the TV on/off and adjust the volume.  Having two remotes, they are alwasy confused and nurses get many call bell lights becuase of it.  If they accidentally use the channel button on the call bell, the cable then doesn't work because it needs to be on channel 3.  This is disorienting the patients, disruptive to nurses, and diminished call response times for more important measures.</t>
  </si>
  <si>
    <t>Hospital Nursing, Maintenance, Biomed, and IT.  Comcast</t>
  </si>
  <si>
    <t>Reduced nurse call volume</t>
  </si>
  <si>
    <t xml:space="preserve">Undetermined. </t>
  </si>
  <si>
    <t>Hospital Nursing</t>
  </si>
  <si>
    <t>This would be a one time fix and increase patient and staff satisfaction.</t>
  </si>
  <si>
    <t xml:space="preserve">Equipment refresh </t>
  </si>
  <si>
    <t>Shared Purchasing</t>
  </si>
  <si>
    <t xml:space="preserve">We have hospital equipment that is close to end of life, including
1. IV Pumps ($50k)
3. Wheelchairs ($5k)
4. Stretchers and hospital beds ($32k)
5. Side tables ($10k)
6. Hoyer lift ($6k)
7. Recliner chairs 4- ($24k)
We have done costing on each of these pieces of equipment and have listed on our inventory plan for budgeting purposes, but would be interested in applying federal transformation dollars here, if applicable. We have joined the New England Collaborative and have appreciate enhanced purchasing power, but considering current hospital finances, have been unable to buy all needed equipment.
</t>
  </si>
  <si>
    <t xml:space="preserve">Hospital leadership
Purchasing </t>
  </si>
  <si>
    <t>We have tested products with front line staff input
We have sourced vendors and worked through our GPO with the NE-CHN</t>
  </si>
  <si>
    <t>Patient and staff satisfaction</t>
  </si>
  <si>
    <t>FY26</t>
  </si>
  <si>
    <t>FY28</t>
  </si>
  <si>
    <t>Safety and security upgrades</t>
  </si>
  <si>
    <t>Received department of homeland security grants to build out security features in the ED including more cameras, shatterproof glass, stronger psych door etc</t>
  </si>
  <si>
    <t>Internal clinical and facitilies.  Third party vendors.</t>
  </si>
  <si>
    <t>All stakeholders and engaged and the work is ongoing.</t>
  </si>
  <si>
    <t>This is grant funded.</t>
  </si>
  <si>
    <t>2/29/26</t>
  </si>
  <si>
    <t>No ongoing costs as the work is infrastructure upgrades.</t>
  </si>
  <si>
    <t>Improved medical staff credentialing</t>
  </si>
  <si>
    <t xml:space="preserve">In FY25 we moved to a new credentialing software called MD staff. This allows us to anboard providers in a more efficient way. </t>
  </si>
  <si>
    <t>Medical staff
Medical staff admin office
Quality director
Hospital leadership</t>
  </si>
  <si>
    <t>$4,500 start up fee and $18k per year</t>
  </si>
  <si>
    <t>Time for staff and speed to onboarding</t>
  </si>
  <si>
    <t>Staff satisfaction</t>
  </si>
  <si>
    <t>Completed FY 25</t>
  </si>
  <si>
    <t>Heather Boucher</t>
  </si>
  <si>
    <t>Building out forensic capacity</t>
  </si>
  <si>
    <t>HRSA Northern Borders Grant to support the SANE (Sexual Assault Nurse Examiner) Care Collaborative &amp; Innovation Network Initiative.  Three-year opportunity aimed at enhancing the quality and capacity of SANE services in small, rural Vermont hospitals through education, training, and quality improvement projects. The first year will be dedicated to skill-building, followed by a focus on implementing a quality improvement project in years two and three.  Each site will send up to two forensic nurses annually to the International Association for Forensic Nursing conference.</t>
  </si>
  <si>
    <t>Quality department
ED and Inpatient nursing
ED and IP Nursing directors
VT state SANE network</t>
  </si>
  <si>
    <t>$6k annually (covered by grant) for conference fees and travel, we also would pay staff for their time, not included in above calculation</t>
  </si>
  <si>
    <t>Completed and ongoing</t>
  </si>
  <si>
    <t>Heather Boucher
Crystal Durocher</t>
  </si>
  <si>
    <t>Yes, but managed</t>
  </si>
  <si>
    <t xml:space="preserve">This is extremely important for the community and patients in this area. Traditionally SANE nurses have been hard to find and building out our on call pool that can help the entire region is very important for quality of care and access for this vulnerable patient population. </t>
  </si>
  <si>
    <t>Best in class hospital, employee and patient satisfaction</t>
  </si>
  <si>
    <t>Net promoter score- best in class, Employee appreciation events (BBQ, holiday presents), "best of" awards in Bratt Reformer in every healthcare category, Rural Health Star Rating- only hospital in Vermont to be 4 and 5 stars (based on patient satisfaction), Governors Excellence in Worksite Wellness award multiple year receipient, gold level</t>
  </si>
  <si>
    <t>Our entire team of leadership and every employee</t>
  </si>
  <si>
    <t>Minimal</t>
  </si>
  <si>
    <t>We appreciate the numerous external metrics that show that we are the employer of choice in southern Vermont and are the only healthcare entity to win "best place to work" award and the only hospital in Vermont to receive 4 stars (now 5 stars) in National Rural Health Rating System</t>
  </si>
  <si>
    <t>Jen Newman</t>
  </si>
  <si>
    <t>Yes, only positive!</t>
  </si>
  <si>
    <t>Inpatient room renovations</t>
  </si>
  <si>
    <t>Our inpatient rooms are dated and need to be renovated. This would include new inpatient progress boards, painting, new baseboards, patching etc</t>
  </si>
  <si>
    <t>We would do this in staging as not to impact bed availability or impact our referral counterparts</t>
  </si>
  <si>
    <t>$90k</t>
  </si>
  <si>
    <t xml:space="preserve">Majority of this work would be completed by our facilities and maintenance team who are skilled contractors and carpenters. We would appreciate the consideration of federal transformation dollars. </t>
  </si>
  <si>
    <t>Focus on affordability</t>
  </si>
  <si>
    <t xml:space="preserve">Although focused on cost cutting efforts, we have steadily reduced our losses since new leadership team started. FY24 over 4M loss pre audit, FY25 about 1M pre audit and so far no losses in FY26. We are also the only hospital in VT as far as we know that do not receive DSH payments. 
Part of our cost savings work included significant due diligence work and eventual migration from NEAH (Vizient) to NE-CHN- the collaborative through Ovation. We are experiencing cost savings in our medical/surgical supplies so far (we are in the early stages to appreciate savings)
We have also entered into captive insurance pool with collaborative members and hope to appreciate savings in insurance as well. 
We have also started a new process and software for all contract centralization and re-negotiation to ensure leadership has clear line of sight to all contracts and if applicable is run through NE CHN to ensure all possible cost savings are appreciated. We have reviewed all open positions and have reduced administrative costs and positions through non backfill. We have reduced the top amount of merit from 3.5 to 3 in FY25. We have matched employee and visitor meal costs to match inflation. </t>
  </si>
  <si>
    <t>Hospital administration and leadership</t>
  </si>
  <si>
    <t>Early to say, but substantial improvement in finances since new leadership</t>
  </si>
  <si>
    <t>Financial metrics</t>
  </si>
  <si>
    <t>Strategic planning 2026-2029 in partnership with Ovation resources</t>
  </si>
  <si>
    <t>We are beginning planning for strategic plan as well as master facility planning. We are partnering with Ovation for support (through the collaborative)</t>
  </si>
  <si>
    <t>Community partners
Board members
Hospital leadership</t>
  </si>
  <si>
    <t>Board members engaged in planning conversations</t>
  </si>
  <si>
    <t>Unsure</t>
  </si>
  <si>
    <t>Q2 FY26</t>
  </si>
  <si>
    <t>Q4 FY26</t>
  </si>
  <si>
    <t>Olivia Sweetnam
Dr T Kalchthaler (board member)</t>
  </si>
  <si>
    <t xml:space="preserve">Pipeline build including medical students, residents (UVM) and EMT students from VEMSA- Rescue and Londonderry </t>
  </si>
  <si>
    <t xml:space="preserve">In the past two years we have formed partnerships and encouraged participation from nursing schools, EMT students from Rescue and Londonderry, medical students and residents from UVM. We are committed to building the pipeline for future success of GCH. </t>
  </si>
  <si>
    <t>Medical staff
Nursing staff
Medical school and residency directors
EMS/EMT programs</t>
  </si>
  <si>
    <t>Consistent communication</t>
  </si>
  <si>
    <t>Building a consistent student pipeline</t>
  </si>
  <si>
    <t>Retention and conversion (stident to employee)</t>
  </si>
  <si>
    <t>Jen Newman
Dr W Everett (med staff president)</t>
  </si>
  <si>
    <t xml:space="preserve">Yes, our clinical teams are engaged and are wonderful preceptors to these students. </t>
  </si>
  <si>
    <t>Nursing staff, reduction of contract and traveling nurses</t>
  </si>
  <si>
    <t xml:space="preserve">In the past two years we have almost completelty reduced our need for contract staffing in nursing and rehab. We currently have between 1-2 rehab travelers and have had no nursing travelers for the past 12 months, helping to reduce our hospital expense. </t>
  </si>
  <si>
    <t>Nursing Leadership
Rehab leadership</t>
  </si>
  <si>
    <t xml:space="preserve">No investment, money saved </t>
  </si>
  <si>
    <t>Yes</t>
  </si>
  <si>
    <t xml:space="preserve">Because of the excellent work of our directors of nursing, with the money saved from contract and travel nurses, we have been able to invest in education, conferences etc for our existing staff- thereby increasing engagement and retention. </t>
  </si>
  <si>
    <t>Inpatient bed evaluation</t>
  </si>
  <si>
    <t xml:space="preserve">Another large project we are undertaking with state transformation dollars is understanding what options may exist for unused bed capacity on inpatient unit. </t>
  </si>
  <si>
    <t>Hospital leadership
Nursing leadership
Staff nursing</t>
  </si>
  <si>
    <t xml:space="preserve">We are at the beginning stages and I have only been in communication with consultants. Our leadership and nursing teams are aware of this work. </t>
  </si>
  <si>
    <t>$80k</t>
  </si>
  <si>
    <t>ADC
Understanding VT inpt needs and how we can support those needs</t>
  </si>
  <si>
    <t xml:space="preserve">We are using part of the state micro grant to complete this work. We are in the early stages and vetting different consulting firms to understand who has the background and expertise to advise on this work. Ideally, we would like to find a use for 3-4 beds that are consistently unused in our inpatient space that would assist the region or even the state of Vermont. </t>
  </si>
  <si>
    <t>Improve regional transportation for non-urgent patient needs</t>
  </si>
  <si>
    <t xml:space="preserve">We have had just beginning conversations regarding feasability of purchasing a wheelchair van to assist with patient transport. Our next steps is deep dive into our data in hospital, OP infusion and clinic to determine how great the need is. We also understand our nursing home partners may have a need here as well. </t>
  </si>
  <si>
    <t>Local healthcare leaders outside GCH
Internal hospital and clinic leadership</t>
  </si>
  <si>
    <t>Just starting conversations</t>
  </si>
  <si>
    <t>$65,000 for van</t>
  </si>
  <si>
    <t>Leadership development and upskilling- series with Richards Group</t>
  </si>
  <si>
    <t xml:space="preserve">We are proud that in FY25 we partnered with Richards Group to do a series on leadership development for department leader and above at GCH. As a small CAH, the continuing education for hospital leaders is difficult to find. Richards Group have been wonderful partners in this space. </t>
  </si>
  <si>
    <t>Hospital leadership
Richards Group</t>
  </si>
  <si>
    <t>None, Richards Group included in our partnership</t>
  </si>
  <si>
    <t>Employee engagement and retention. 
NPS</t>
  </si>
  <si>
    <t>HRSA Grant MIH</t>
  </si>
  <si>
    <t xml:space="preserve">In FY25 we completed a HRSA grant in order to expand MIH process to GCH. We worked closely with BMH to understand the clinical pathways and also worked closely with Rescue to understand their role and capacity for including GCH patients. Although we did not receive the grant, we are excited and interested to be included in the MIH program and are most likely more advanced compared to some neighboring hospitals as we have already reviewed and vetted the clinical pathways. </t>
  </si>
  <si>
    <t>Hospital leadership
Medical staff
Rescue
BMH</t>
  </si>
  <si>
    <t>Previous work on understanding MIH program with stakeholders. 
Ratifying clinical pathways with our medical staff
Working through process questions or concerns as we were completing the HRSA grant</t>
  </si>
  <si>
    <t>Previous HRSA grant request was from GCH, BMH and Rescue together and was for $250,000 annualy for 4 years- so $1M</t>
  </si>
  <si>
    <t>Hospital readmissions
ED visits</t>
  </si>
  <si>
    <t>Hospital admission and readmissions
ED visits
Rescue visit volume</t>
  </si>
  <si>
    <t>Chris Boucher
Dr Jen Zweig</t>
  </si>
  <si>
    <t>We are excited about this program and are in a position, that if funded, could move quickly to implement. We are interested in pathways outside BMH as well (COPD, DM2, uncontrolled HTN etc)</t>
  </si>
  <si>
    <t>MVP Software Upgrade</t>
  </si>
  <si>
    <t xml:space="preserve">Our pharmacy, Messenger Valley Pharmacy implemented a new software system in FY25 which allows them to service more patients and community members. </t>
  </si>
  <si>
    <t>Pharmacy leadership
Hospital leadership</t>
  </si>
  <si>
    <t>Free</t>
  </si>
  <si>
    <t>Documentation time
Staff retention</t>
  </si>
  <si>
    <t>Time to fill script
Total scripts filled</t>
  </si>
  <si>
    <t>Complete</t>
  </si>
  <si>
    <t>Steve Kapral</t>
  </si>
  <si>
    <t xml:space="preserve">We filled over 6,000 scripts in December 2025- our pharmacy has continued to be busier and busier and as community pharmacies close, MVP collects many patients. We have excellent service and knowledgable techs and pharmacists which leads our pharmacy to be the one of choice for regional patients including Brattleboro residents. </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</si>
  <si>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</si>
  <si>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</si>
  <si>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</si>
  <si>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</si>
  <si>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</si>
  <si>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</si>
  <si>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</si>
  <si>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</si>
  <si>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</si>
  <si>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r>
      <rPr>
        <u/>
        <sz val="11"/>
        <color rgb="FF215C98"/>
        <rFont val="Aptos Narrow"/>
        <scheme val="minor"/>
      </rPr>
      <t>Example</t>
    </r>
    <r>
      <rPr>
        <sz val="11"/>
        <color rgb="FF215C98"/>
        <rFont val="Aptos Narrow"/>
        <scheme val="minor"/>
      </rPr>
      <t xml:space="preserve"> Risk 1</t>
    </r>
  </si>
  <si>
    <t>Work Force</t>
  </si>
  <si>
    <t>Acess to Care</t>
  </si>
  <si>
    <t>Critical staffing shortages(RNs,LPNs) may limit hospital's ability to implement redesigned patient flow processes, stand up a capacity management team or maintain target ED boarding and inpatient throughput measures.</t>
  </si>
  <si>
    <t>Develop a phased staffing plan; cross-train existing staff for patient flow and discharge planning roles; leverage per diem pools; partner with regional hospitals for shared transfer resources; implement interim workflow adjustments that reduce staffing burden</t>
  </si>
  <si>
    <t>Prioritize essential capacity management functions; activate regional backup transfer pathways; temporarily modify throughput targets; engage contract/locum support; escalate critical delays to regional partners through pulse-check calls.</t>
  </si>
  <si>
    <t>Medium</t>
  </si>
  <si>
    <t>Critical</t>
  </si>
  <si>
    <t>Monitoring</t>
  </si>
  <si>
    <t>Risk 2</t>
  </si>
  <si>
    <t xml:space="preserve">Although we have been very succesful recruiting nurses, we consistently have 1-2 therapy travelers. We also are recruiting for an additional experienced APP or physician for the RHC. </t>
  </si>
  <si>
    <t xml:space="preserve">We are working to build out our own pipeline as described on previous tab. We also work closely with our neighboring facilities to share resources and staff when able. </t>
  </si>
  <si>
    <t>Moderate</t>
  </si>
  <si>
    <t>Risk to area residents</t>
  </si>
  <si>
    <t xml:space="preserve">I think another risk is limited communication with other facilities. Although we have regional conversations, they are infrequent and short and we have been discouraged about having calls without AHS present as a precuation due to anti-trust concerns. But just as we did not/do not know about what neighboring hospitals had in their micro grant- state transformation dollar requests- we similarly do not know what neighboring hospitals have in their transformation plans. This feels like coordination is lacking and transformation is not able to be completed at the highest level possible. </t>
  </si>
  <si>
    <t>Work as closely as possible with other hospitals, especially those in the collaborative. Encourage AHS and others to hold more forums for planning and communication</t>
  </si>
  <si>
    <t xml:space="preserve">Meet 1:1 with local hospital CEOs and begin our own process for strategy and planning. </t>
  </si>
  <si>
    <t>Significant</t>
  </si>
  <si>
    <t>Risk 3</t>
  </si>
  <si>
    <t>Financial Stability</t>
  </si>
  <si>
    <t xml:space="preserve">Considering the federal implications with HR 1 and now with competing payment reform (site neutral and RBP) all active- it feels very unstable and GCH is focused on recovering and building after FY24. This is complicated when there is so much uncertainty at the federal and state level. </t>
  </si>
  <si>
    <t xml:space="preserve">Work with VAHHS and Ovation (collaborative) to complete as much modeling and understanding of financial implications. We also work closely with our legislators to help them understand hospital finance and implications. </t>
  </si>
  <si>
    <t>A description of potential risks associated with the proposed care delivery transformation and implementation should be captured in the Risk Mitigation Plan. The purpose of the Risk Mitigation Plan is to document what risks the hospital sees to different stakeholders and outcomes, as well as strategies to mitigate them.  Complete this step once the hospital has a well-defined set of goals and action steps outlined. This Risk Mitigation Plan should be concise and specific as to the ways in which the hospital will work to minimize the risk associated with implementation.</t>
  </si>
  <si>
    <t>Comm ID</t>
  </si>
  <si>
    <t>Date/Planned Date</t>
  </si>
  <si>
    <t>Stakeholder Name</t>
  </si>
  <si>
    <t>Communication Objective</t>
  </si>
  <si>
    <t>Communication Method                                                  DROP DOWN</t>
  </si>
  <si>
    <t>Frequency                                                   DROP DOWN</t>
  </si>
  <si>
    <t>Status                                      DROP DOWN</t>
  </si>
  <si>
    <t>Notes</t>
  </si>
  <si>
    <t>Comm 1</t>
  </si>
  <si>
    <t xml:space="preserve"> </t>
  </si>
  <si>
    <t>The communication tab tracks all regular project interactions to ensure consistent, transparent engagement with key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</si>
</sst>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409]* #,##0.00_);_([$$-409]* \(#,##0.00\);_([$$-409]* &quot;-&quot;??_);_(@_)"/>
  </numFmts>
  <fonts count="28">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sz val="12"/>
      <color theme="1"/>
      <name val="Aptos Narrow"/>
      <scheme val="minor"/>
    </font>
    <font>
      <b/>
      <sz val="11"/>
      <color theme="0"/>
      <name val="Aptos Narrow"/>
      <scheme val="minor"/>
    </font>
    <font>
      <sz val="11"/>
      <color theme="1"/>
      <name val="Aptos Narrow"/>
      <scheme val="minor"/>
    </font>
    <font>
      <sz val="11"/>
      <color rgb="FF000000"/>
      <name val="Aptos Narrow"/>
      <scheme val="minor"/>
    </font>
    <font>
      <b/>
      <sz val="11"/>
      <color theme="1"/>
      <name val="Aptos Narrow"/>
      <scheme val="minor"/>
    </font>
    <font>
      <b/>
      <sz val="11"/>
      <color rgb="FF000000"/>
      <name val="Aptos Narrow"/>
      <scheme val="minor"/>
    </font>
    <font>
      <b/>
      <sz val="11"/>
      <name val="Aptos Narrow"/>
      <scheme val="minor"/>
    </font>
    <font>
      <sz val="11"/>
      <color theme="3" tint="0.249977111117893"/>
      <name val="Aptos Narrow"/>
      <scheme val="minor"/>
    </font>
    <font>
      <u/>
      <sz val="11"/>
      <color theme="3" tint="0.249977111117893"/>
      <name val="Aptos Narrow"/>
      <scheme val="minor"/>
    </font>
    <font>
      <b/>
      <sz val="11"/>
      <color theme="1"/>
      <name val="Aptos Narrow"/>
      <family val="2"/>
      <scheme val="minor"/>
    </font>
    <font>
      <sz val="11"/>
      <color theme="3" tint="0.249977111117893"/>
      <name val="Aptos Narrow"/>
      <family val="2"/>
      <scheme val="minor"/>
    </font>
    <font>
      <b/>
      <sz val="11"/>
      <name val="Aptos"/>
      <charset val="1"/>
    </font>
    <font>
      <sz val="11"/>
      <name val="Aptos"/>
      <charset val="1"/>
    </font>
    <font>
      <sz val="11"/>
      <name val="Arial"/>
      <charset val="1"/>
    </font>
    <font>
      <sz val="11"/>
      <color rgb="FF000000"/>
      <name val="Aptos Narrow"/>
      <family val="2"/>
      <scheme val="minor"/>
    </font>
    <font>
      <b/>
      <sz val="12"/>
      <color theme="1"/>
      <name val="Aptos Narrow"/>
      <family val="2"/>
      <scheme val="minor"/>
    </font>
    <font>
      <sz val="11"/>
      <name val="Aptos"/>
      <family val="2"/>
    </font>
    <font>
      <b/>
      <sz val="11"/>
      <name val="Aptos"/>
      <family val="2"/>
    </font>
    <font>
      <u/>
      <sz val="11"/>
      <color rgb="FF215C98"/>
      <name val="Aptos Narrow"/>
      <scheme val="minor"/>
    </font>
    <font>
      <sz val="11"/>
      <color rgb="FF215C98"/>
      <name val="Aptos Narrow"/>
      <scheme val="minor"/>
    </font>
    <font>
      <sz val="12"/>
      <color theme="1"/>
      <name val="Aptos"/>
      <charset val="1"/>
    </font>
  </fonts>
  <fills count="5">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xf numFmtId="44" fontId="1" fillId="0" borderId="0" applyFont="0" applyFill="0" applyBorder="0" applyAlignment="0" applyProtection="0"/>
  </cellStyleXfs>
  <cellXfs count="90">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4" fillId="2" borderId="1" xfId="0" applyFont="1" applyFill="1" applyBorder="1" applyAlignment="1">
      <alignment horizontal="left" vertical="top"/>
    </xf>
    <xf numFmtId="0" fontId="4" fillId="2" borderId="4"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6" xfId="0" applyFont="1" applyFill="1" applyBorder="1" applyAlignment="1">
      <alignment horizontal="left" vertical="top"/>
    </xf>
    <xf numFmtId="0" fontId="5" fillId="0" borderId="0" xfId="0" applyFont="1" applyAlignment="1">
      <alignment vertical="top"/>
    </xf>
    <xf numFmtId="0" fontId="7" fillId="0" borderId="0" xfId="0" applyFont="1" applyAlignment="1">
      <alignment horizontal="left" vertical="top"/>
    </xf>
    <xf numFmtId="0" fontId="7" fillId="0" borderId="1" xfId="0" applyFont="1" applyBorder="1" applyAlignment="1">
      <alignment horizontal="left" vertical="top" wrapText="1"/>
    </xf>
    <xf numFmtId="0" fontId="7" fillId="0" borderId="1" xfId="0" applyFont="1" applyBorder="1" applyAlignment="1" applyProtection="1">
      <alignment horizontal="left" vertical="top"/>
      <protection locked="0"/>
    </xf>
    <xf numFmtId="0" fontId="7" fillId="0" borderId="0" xfId="0" applyFont="1"/>
    <xf numFmtId="0" fontId="7" fillId="0" borderId="1" xfId="0" applyFont="1" applyBorder="1" applyAlignment="1">
      <alignment horizontal="left" vertical="top"/>
    </xf>
    <xf numFmtId="0" fontId="8" fillId="3" borderId="1" xfId="0" applyFont="1" applyFill="1" applyBorder="1" applyAlignment="1">
      <alignment horizontal="center" vertical="center" wrapText="1"/>
    </xf>
    <xf numFmtId="0" fontId="8" fillId="3" borderId="8" xfId="0" applyFont="1" applyFill="1" applyBorder="1" applyAlignment="1">
      <alignment horizontal="center" vertical="center" wrapText="1"/>
    </xf>
    <xf numFmtId="164" fontId="8" fillId="3" borderId="1" xfId="1" applyNumberFormat="1" applyFont="1" applyFill="1" applyBorder="1" applyAlignment="1">
      <alignment horizontal="center" vertical="center" wrapText="1"/>
    </xf>
    <xf numFmtId="164" fontId="8" fillId="3" borderId="8" xfId="1"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0" borderId="0" xfId="0" applyFont="1"/>
    <xf numFmtId="0" fontId="9" fillId="0" borderId="0" xfId="0" applyFont="1" applyAlignment="1">
      <alignment horizontal="left" vertical="top"/>
    </xf>
    <xf numFmtId="0" fontId="10" fillId="0" borderId="6" xfId="0" applyFont="1" applyBorder="1" applyAlignment="1">
      <alignment horizontal="left" vertical="top" wrapText="1"/>
    </xf>
    <xf numFmtId="0" fontId="12"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164" fontId="11" fillId="2" borderId="1" xfId="1" applyNumberFormat="1" applyFont="1" applyFill="1" applyBorder="1" applyAlignment="1">
      <alignment horizontal="left" vertical="top" wrapText="1"/>
    </xf>
    <xf numFmtId="0" fontId="13" fillId="2" borderId="1"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3" xfId="0" applyFont="1" applyFill="1" applyBorder="1" applyAlignment="1">
      <alignment horizontal="left" vertical="top" wrapText="1"/>
    </xf>
    <xf numFmtId="0" fontId="14" fillId="0" borderId="6" xfId="0" applyFont="1" applyBorder="1" applyAlignment="1">
      <alignment horizontal="left" vertical="top" wrapText="1"/>
    </xf>
    <xf numFmtId="0" fontId="14" fillId="0" borderId="1" xfId="0" applyFont="1" applyBorder="1" applyAlignment="1">
      <alignment horizontal="left" vertical="top" wrapText="1"/>
    </xf>
    <xf numFmtId="0" fontId="14" fillId="0" borderId="7" xfId="0" applyFont="1" applyBorder="1" applyAlignment="1" applyProtection="1">
      <alignment horizontal="left" vertical="top" wrapText="1"/>
      <protection locked="0"/>
    </xf>
    <xf numFmtId="165" fontId="14" fillId="0" borderId="9" xfId="0" applyNumberFormat="1" applyFont="1" applyBorder="1" applyAlignment="1">
      <alignment horizontal="left" vertical="top"/>
    </xf>
    <xf numFmtId="165" fontId="14" fillId="0" borderId="6" xfId="0" applyNumberFormat="1" applyFont="1" applyBorder="1" applyAlignment="1">
      <alignment horizontal="left" vertical="top"/>
    </xf>
    <xf numFmtId="4" fontId="14" fillId="0" borderId="1" xfId="0" applyNumberFormat="1" applyFont="1" applyBorder="1" applyAlignment="1" applyProtection="1">
      <alignment horizontal="left" vertical="top"/>
      <protection locked="0"/>
    </xf>
    <xf numFmtId="14" fontId="14" fillId="0" borderId="6" xfId="0" applyNumberFormat="1" applyFont="1" applyBorder="1" applyAlignment="1">
      <alignment horizontal="left" vertical="top"/>
    </xf>
    <xf numFmtId="0" fontId="14" fillId="0" borderId="6" xfId="0" applyFont="1" applyBorder="1" applyAlignment="1">
      <alignment horizontal="left" vertical="top"/>
    </xf>
    <xf numFmtId="0" fontId="14" fillId="0" borderId="0" xfId="0" applyFont="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pplyProtection="1">
      <alignment horizontal="left" vertical="top" wrapText="1"/>
      <protection locked="0"/>
    </xf>
    <xf numFmtId="0" fontId="10" fillId="0" borderId="7" xfId="0" applyFont="1" applyBorder="1" applyAlignment="1" applyProtection="1">
      <alignment horizontal="left" vertical="top" wrapText="1"/>
      <protection locked="0"/>
    </xf>
    <xf numFmtId="0" fontId="10" fillId="0" borderId="6" xfId="0" applyFont="1" applyBorder="1" applyAlignment="1">
      <alignment horizontal="left" vertical="top"/>
    </xf>
    <xf numFmtId="165" fontId="10" fillId="0" borderId="9" xfId="0" applyNumberFormat="1" applyFont="1" applyBorder="1" applyAlignment="1">
      <alignment horizontal="left" vertical="top"/>
    </xf>
    <xf numFmtId="165" fontId="10" fillId="0" borderId="6" xfId="0" applyNumberFormat="1" applyFont="1" applyBorder="1" applyAlignment="1">
      <alignment horizontal="left" vertical="top"/>
    </xf>
    <xf numFmtId="4" fontId="10" fillId="0" borderId="1" xfId="0" applyNumberFormat="1" applyFont="1" applyBorder="1" applyAlignment="1" applyProtection="1">
      <alignment horizontal="left" vertical="top"/>
      <protection locked="0"/>
    </xf>
    <xf numFmtId="14" fontId="10" fillId="0" borderId="6" xfId="0" applyNumberFormat="1" applyFont="1" applyBorder="1" applyAlignment="1">
      <alignment horizontal="left" vertical="top"/>
    </xf>
    <xf numFmtId="0" fontId="10" fillId="0" borderId="0" xfId="0" applyFont="1" applyAlignment="1">
      <alignment horizontal="left" vertical="top"/>
    </xf>
    <xf numFmtId="0" fontId="5" fillId="0" borderId="6"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5" fillId="0" borderId="9" xfId="0" applyFont="1" applyBorder="1" applyAlignment="1">
      <alignment vertical="top"/>
    </xf>
    <xf numFmtId="0" fontId="5" fillId="0" borderId="0" xfId="0" applyFont="1"/>
    <xf numFmtId="0" fontId="21" fillId="0" borderId="1" xfId="0" applyFont="1" applyBorder="1" applyAlignment="1" applyProtection="1">
      <alignment horizontal="left" vertical="top" wrapText="1"/>
      <protection locked="0"/>
    </xf>
    <xf numFmtId="0" fontId="22" fillId="0" borderId="0" xfId="0" applyFont="1"/>
    <xf numFmtId="0" fontId="19" fillId="0" borderId="12" xfId="0" applyFont="1" applyBorder="1" applyAlignment="1">
      <alignment horizontal="center" vertical="center" wrapText="1" readingOrder="1"/>
    </xf>
    <xf numFmtId="0" fontId="19" fillId="0" borderId="13" xfId="0" applyFont="1" applyBorder="1" applyAlignment="1">
      <alignment vertical="center" wrapText="1" readingOrder="1"/>
    </xf>
    <xf numFmtId="0" fontId="19" fillId="0" borderId="14" xfId="0" applyFont="1" applyBorder="1" applyAlignment="1">
      <alignment horizontal="center" vertical="center" wrapText="1" readingOrder="1"/>
    </xf>
    <xf numFmtId="0" fontId="19" fillId="0" borderId="15" xfId="0" applyFont="1" applyBorder="1" applyAlignment="1">
      <alignment vertical="center" wrapText="1" readingOrder="1"/>
    </xf>
    <xf numFmtId="0" fontId="23" fillId="0" borderId="13" xfId="0" applyFont="1" applyBorder="1" applyAlignment="1">
      <alignment vertical="center" wrapText="1" readingOrder="1"/>
    </xf>
    <xf numFmtId="0" fontId="5" fillId="0" borderId="1" xfId="0" applyFont="1" applyBorder="1" applyAlignment="1">
      <alignment horizontal="left" vertical="top" wrapText="1"/>
    </xf>
    <xf numFmtId="0" fontId="17" fillId="0" borderId="6" xfId="0" applyFont="1" applyBorder="1" applyAlignment="1">
      <alignment horizontal="left" vertical="top" wrapText="1"/>
    </xf>
    <xf numFmtId="0" fontId="16" fillId="2" borderId="1" xfId="0" applyFont="1" applyFill="1" applyBorder="1" applyAlignment="1">
      <alignment horizontal="left" vertical="top" wrapText="1"/>
    </xf>
    <xf numFmtId="0" fontId="26" fillId="0" borderId="6" xfId="0" applyFont="1" applyBorder="1" applyAlignment="1">
      <alignment horizontal="left" vertical="top" wrapText="1"/>
    </xf>
    <xf numFmtId="0" fontId="21" fillId="0" borderId="6" xfId="0" applyFont="1" applyBorder="1" applyAlignment="1">
      <alignment horizontal="left" vertical="top" wrapText="1"/>
    </xf>
    <xf numFmtId="165" fontId="10" fillId="0" borderId="6" xfId="0" applyNumberFormat="1" applyFont="1" applyBorder="1" applyAlignment="1">
      <alignment horizontal="left" vertical="top" wrapText="1"/>
    </xf>
    <xf numFmtId="14" fontId="21" fillId="0" borderId="6" xfId="0" applyNumberFormat="1" applyFont="1" applyBorder="1" applyAlignment="1">
      <alignment horizontal="left" vertical="top"/>
    </xf>
    <xf numFmtId="0" fontId="21" fillId="0" borderId="7" xfId="0" applyFont="1" applyBorder="1" applyAlignment="1" applyProtection="1">
      <alignment horizontal="left" vertical="top" wrapText="1"/>
      <protection locked="0"/>
    </xf>
    <xf numFmtId="4" fontId="14" fillId="0" borderId="1" xfId="0" applyNumberFormat="1" applyFont="1" applyBorder="1" applyAlignment="1" applyProtection="1">
      <alignment horizontal="left" vertical="top" wrapText="1"/>
      <protection locked="0"/>
    </xf>
    <xf numFmtId="14" fontId="10" fillId="0" borderId="6" xfId="0" applyNumberFormat="1" applyFont="1" applyBorder="1" applyAlignment="1">
      <alignment horizontal="left" vertical="top" wrapText="1"/>
    </xf>
    <xf numFmtId="165" fontId="10" fillId="0" borderId="9" xfId="0" applyNumberFormat="1" applyFont="1" applyBorder="1" applyAlignment="1">
      <alignment horizontal="left" vertical="top" wrapText="1"/>
    </xf>
    <xf numFmtId="4" fontId="17" fillId="0" borderId="1" xfId="0" applyNumberFormat="1" applyFont="1" applyBorder="1" applyAlignment="1" applyProtection="1">
      <alignment horizontal="left" vertical="top" wrapText="1"/>
      <protection locked="0"/>
    </xf>
    <xf numFmtId="0" fontId="21" fillId="0" borderId="1" xfId="0" applyFont="1" applyBorder="1" applyAlignment="1">
      <alignment horizontal="left" vertical="top" wrapText="1"/>
    </xf>
    <xf numFmtId="165" fontId="21" fillId="0" borderId="9" xfId="0" applyNumberFormat="1" applyFont="1" applyBorder="1" applyAlignment="1">
      <alignment horizontal="left" vertical="top"/>
    </xf>
    <xf numFmtId="4" fontId="21" fillId="0" borderId="1" xfId="0" applyNumberFormat="1" applyFont="1" applyBorder="1" applyAlignment="1" applyProtection="1">
      <alignment horizontal="left" vertical="top"/>
      <protection locked="0"/>
    </xf>
    <xf numFmtId="165" fontId="21" fillId="0" borderId="6" xfId="0" applyNumberFormat="1" applyFont="1" applyBorder="1" applyAlignment="1">
      <alignment horizontal="left" vertical="top" wrapText="1"/>
    </xf>
    <xf numFmtId="0" fontId="21" fillId="0" borderId="6" xfId="0" applyFont="1" applyBorder="1" applyAlignment="1">
      <alignment horizontal="left" vertical="top"/>
    </xf>
    <xf numFmtId="0" fontId="27" fillId="0" borderId="6" xfId="0" applyFont="1" applyBorder="1" applyAlignment="1">
      <alignment vertical="top" wrapText="1"/>
    </xf>
    <xf numFmtId="165" fontId="21" fillId="0" borderId="9" xfId="0" applyNumberFormat="1" applyFont="1" applyBorder="1" applyAlignment="1">
      <alignment horizontal="left" vertical="top" wrapText="1"/>
    </xf>
    <xf numFmtId="0" fontId="6" fillId="0" borderId="1" xfId="0" applyFont="1" applyBorder="1" applyAlignment="1">
      <alignment vertical="top" wrapText="1"/>
    </xf>
    <xf numFmtId="0" fontId="6" fillId="0" borderId="7" xfId="0" applyFont="1" applyBorder="1" applyAlignment="1">
      <alignment vertical="top" wrapText="1"/>
    </xf>
    <xf numFmtId="0" fontId="5" fillId="0" borderId="9" xfId="0" applyFont="1" applyBorder="1" applyAlignment="1">
      <alignment vertical="top" wrapText="1"/>
    </xf>
    <xf numFmtId="0" fontId="0" fillId="0" borderId="6" xfId="0" applyBorder="1" applyAlignment="1">
      <alignment vertical="top" wrapText="1"/>
    </xf>
    <xf numFmtId="4" fontId="17" fillId="0" borderId="1" xfId="0" applyNumberFormat="1" applyFont="1" applyBorder="1" applyAlignment="1" applyProtection="1">
      <alignment horizontal="left" vertical="top"/>
      <protection locked="0"/>
    </xf>
    <xf numFmtId="0" fontId="17" fillId="0" borderId="6" xfId="0" applyFont="1" applyBorder="1" applyAlignment="1">
      <alignment horizontal="left" vertical="top"/>
    </xf>
    <xf numFmtId="0" fontId="18" fillId="4" borderId="10" xfId="0" applyFont="1" applyFill="1" applyBorder="1" applyAlignment="1">
      <alignment wrapText="1" readingOrder="1"/>
    </xf>
    <xf numFmtId="0" fontId="18" fillId="4" borderId="11" xfId="0" applyFont="1" applyFill="1" applyBorder="1" applyAlignment="1">
      <alignment wrapText="1" readingOrder="1"/>
    </xf>
    <xf numFmtId="0" fontId="24" fillId="4" borderId="12" xfId="0" applyFont="1" applyFill="1" applyBorder="1" applyAlignment="1">
      <alignment wrapText="1" readingOrder="1"/>
    </xf>
    <xf numFmtId="0" fontId="18" fillId="4" borderId="13" xfId="0" applyFont="1" applyFill="1" applyBorder="1" applyAlignment="1">
      <alignment wrapText="1" readingOrder="1"/>
    </xf>
    <xf numFmtId="0" fontId="3"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dimension ref="A1:B35"/>
  <sheetViews>
    <sheetView workbookViewId="0">
      <selection activeCell="B35" sqref="B35"/>
    </sheetView>
  </sheetViews>
  <sheetFormatPr defaultRowHeight="14.45"/>
  <cols>
    <col min="1" max="1" width="5.5703125" customWidth="1"/>
    <col min="2" max="2" width="88.42578125" customWidth="1"/>
  </cols>
  <sheetData>
    <row r="1" spans="1:2" s="52" customFormat="1" ht="15.95">
      <c r="A1" s="54" t="s">
        <v>0</v>
      </c>
    </row>
    <row r="2" spans="1:2" s="52" customFormat="1" ht="15.95">
      <c r="A2" s="52" t="s">
        <v>1</v>
      </c>
    </row>
    <row r="3" spans="1:2" s="52" customFormat="1" ht="15.95">
      <c r="A3" s="52" t="s">
        <v>2</v>
      </c>
    </row>
    <row r="4" spans="1:2" s="52" customFormat="1" ht="15.95"/>
    <row r="5" spans="1:2" s="52" customFormat="1" ht="15.95">
      <c r="A5" s="54" t="s">
        <v>3</v>
      </c>
    </row>
    <row r="6" spans="1:2" s="52" customFormat="1" ht="15.95">
      <c r="A6" s="52" t="s">
        <v>4</v>
      </c>
    </row>
    <row r="7" spans="1:2" ht="15.95">
      <c r="A7" s="52" t="s">
        <v>5</v>
      </c>
    </row>
    <row r="8" spans="1:2" s="52" customFormat="1" ht="15.95">
      <c r="A8" s="52" t="s">
        <v>6</v>
      </c>
    </row>
    <row r="10" spans="1:2">
      <c r="A10" s="85" t="s">
        <v>7</v>
      </c>
      <c r="B10" s="86"/>
    </row>
    <row r="11" spans="1:2" ht="28.5" customHeight="1">
      <c r="A11" s="55" t="s">
        <v>8</v>
      </c>
      <c r="B11" s="56" t="s">
        <v>9</v>
      </c>
    </row>
    <row r="12" spans="1:2" ht="39" customHeight="1">
      <c r="A12" s="55" t="s">
        <v>10</v>
      </c>
      <c r="B12" s="56" t="s">
        <v>11</v>
      </c>
    </row>
    <row r="13" spans="1:2" ht="26.25" customHeight="1">
      <c r="A13" s="55" t="s">
        <v>12</v>
      </c>
      <c r="B13" s="56" t="s">
        <v>13</v>
      </c>
    </row>
    <row r="14" spans="1:2">
      <c r="A14" s="87" t="s">
        <v>14</v>
      </c>
      <c r="B14" s="88"/>
    </row>
    <row r="15" spans="1:2" ht="35.25" customHeight="1">
      <c r="A15" s="55" t="s">
        <v>8</v>
      </c>
      <c r="B15" s="56" t="s">
        <v>15</v>
      </c>
    </row>
    <row r="16" spans="1:2" ht="24.75" customHeight="1">
      <c r="A16" s="55" t="s">
        <v>10</v>
      </c>
      <c r="B16" s="59" t="s">
        <v>16</v>
      </c>
    </row>
    <row r="17" spans="1:2" ht="43.5">
      <c r="A17" s="55" t="s">
        <v>12</v>
      </c>
      <c r="B17" s="56" t="s">
        <v>17</v>
      </c>
    </row>
    <row r="18" spans="1:2" ht="37.5" customHeight="1">
      <c r="A18" s="55" t="s">
        <v>18</v>
      </c>
      <c r="B18" s="56" t="s">
        <v>19</v>
      </c>
    </row>
    <row r="19" spans="1:2" ht="44.45" customHeight="1">
      <c r="A19" s="57" t="s">
        <v>20</v>
      </c>
      <c r="B19" s="58" t="s">
        <v>21</v>
      </c>
    </row>
    <row r="21" spans="1:2" s="52" customFormat="1" ht="15.95">
      <c r="A21" s="54" t="s">
        <v>22</v>
      </c>
    </row>
    <row r="22" spans="1:2" ht="15.95">
      <c r="A22" s="52" t="s">
        <v>23</v>
      </c>
    </row>
    <row r="23" spans="1:2" ht="15.95">
      <c r="A23" s="52" t="s">
        <v>24</v>
      </c>
    </row>
    <row r="25" spans="1:2" s="52" customFormat="1" ht="15.95">
      <c r="A25" s="54" t="s">
        <v>25</v>
      </c>
    </row>
    <row r="26" spans="1:2" s="52" customFormat="1" ht="15.95">
      <c r="A26" s="52" t="s">
        <v>26</v>
      </c>
    </row>
    <row r="27" spans="1:2" ht="15.95">
      <c r="A27" s="52" t="s">
        <v>27</v>
      </c>
    </row>
    <row r="28" spans="1:2" ht="15.95">
      <c r="A28" s="52"/>
    </row>
    <row r="29" spans="1:2" ht="15.95">
      <c r="A29" s="54" t="s">
        <v>28</v>
      </c>
      <c r="B29" s="52"/>
    </row>
    <row r="30" spans="1:2" ht="15.95">
      <c r="A30" s="52" t="s">
        <v>29</v>
      </c>
      <c r="B30" s="52"/>
    </row>
    <row r="32" spans="1:2" ht="15.95">
      <c r="A32" s="54" t="s">
        <v>30</v>
      </c>
      <c r="B32" s="52"/>
    </row>
    <row r="33" spans="1:1" ht="15.95">
      <c r="A33" s="52" t="s">
        <v>31</v>
      </c>
    </row>
    <row r="35" spans="1:1">
      <c r="A35" t="s">
        <v>32</v>
      </c>
    </row>
  </sheetData>
  <mergeCells count="2">
    <mergeCell ref="A10:B10"/>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488A-0881-46DF-A79B-983F0F5E10DF}">
  <dimension ref="A1:B15"/>
  <sheetViews>
    <sheetView zoomScaleNormal="100" workbookViewId="0">
      <selection activeCell="B15" sqref="B15"/>
    </sheetView>
  </sheetViews>
  <sheetFormatPr defaultColWidth="9.140625" defaultRowHeight="37.35" customHeight="1"/>
  <cols>
    <col min="1" max="1" width="39.42578125" style="10" customWidth="1"/>
    <col min="2" max="2" width="41.85546875" style="10" customWidth="1"/>
    <col min="3" max="16384" width="9.140625" style="13"/>
  </cols>
  <sheetData>
    <row r="1" spans="1:2" ht="24.6" customHeight="1">
      <c r="A1" s="11" t="s">
        <v>33</v>
      </c>
      <c r="B1" s="12" t="s">
        <v>34</v>
      </c>
    </row>
    <row r="2" spans="1:2" ht="29.45" customHeight="1">
      <c r="A2" s="11" t="s">
        <v>35</v>
      </c>
      <c r="B2" s="12" t="s">
        <v>36</v>
      </c>
    </row>
    <row r="3" spans="1:2" ht="29.45" customHeight="1">
      <c r="A3" s="11" t="s">
        <v>37</v>
      </c>
      <c r="B3" s="12"/>
    </row>
    <row r="4" spans="1:2" ht="29.45" customHeight="1">
      <c r="A4" s="11" t="s">
        <v>38</v>
      </c>
      <c r="B4" s="12"/>
    </row>
    <row r="5" spans="1:2" ht="29.45" customHeight="1">
      <c r="A5" s="11" t="s">
        <v>39</v>
      </c>
      <c r="B5" s="12"/>
    </row>
    <row r="6" spans="1:2" ht="29.45" customHeight="1">
      <c r="A6" s="11" t="s">
        <v>40</v>
      </c>
      <c r="B6" s="12" t="s">
        <v>41</v>
      </c>
    </row>
    <row r="7" spans="1:2" ht="29.45" customHeight="1">
      <c r="A7" s="11" t="s">
        <v>42</v>
      </c>
      <c r="B7" s="12" t="s">
        <v>43</v>
      </c>
    </row>
    <row r="8" spans="1:2" ht="29.45" customHeight="1">
      <c r="A8" s="11" t="s">
        <v>44</v>
      </c>
      <c r="B8" s="12" t="s">
        <v>45</v>
      </c>
    </row>
    <row r="9" spans="1:2" ht="29.45" customHeight="1">
      <c r="A9" s="11" t="s">
        <v>46</v>
      </c>
      <c r="B9" s="12" t="s">
        <v>47</v>
      </c>
    </row>
    <row r="10" spans="1:2" ht="29.45" customHeight="1">
      <c r="A10" s="11" t="s">
        <v>48</v>
      </c>
      <c r="B10" s="12" t="s">
        <v>49</v>
      </c>
    </row>
    <row r="11" spans="1:2" ht="46.35" customHeight="1">
      <c r="A11" s="60" t="s">
        <v>50</v>
      </c>
      <c r="B11" s="12" t="s">
        <v>51</v>
      </c>
    </row>
    <row r="12" spans="1:2" ht="29.45" customHeight="1">
      <c r="A12" s="11" t="s">
        <v>52</v>
      </c>
      <c r="B12" s="12" t="s">
        <v>53</v>
      </c>
    </row>
    <row r="13" spans="1:2" ht="41.45" customHeight="1">
      <c r="A13" s="11" t="s">
        <v>54</v>
      </c>
      <c r="B13" s="12" t="s">
        <v>55</v>
      </c>
    </row>
    <row r="14" spans="1:2" ht="29.45" customHeight="1">
      <c r="A14" s="11" t="s">
        <v>56</v>
      </c>
      <c r="B14" s="12" t="s">
        <v>57</v>
      </c>
    </row>
    <row r="15" spans="1:2" ht="29.45" customHeight="1">
      <c r="A15" s="14" t="s">
        <v>58</v>
      </c>
      <c r="B15" s="12" t="s">
        <v>59</v>
      </c>
    </row>
  </sheetData>
  <pageMargins left="0.25" right="0.25" top="0.75" bottom="0.75" header="0.3" footer="0.3"/>
  <pageSetup orientation="landscape"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dimension ref="A1:P36"/>
  <sheetViews>
    <sheetView zoomScaleNormal="100" workbookViewId="0">
      <pane xSplit="1" ySplit="2" topLeftCell="D19" activePane="bottomRight" state="frozen"/>
      <selection pane="bottomRight" activeCell="N34" sqref="N34"/>
      <selection pane="bottomLeft" activeCell="A3" sqref="A3"/>
      <selection pane="topRight" activeCell="B1" sqref="B1"/>
    </sheetView>
  </sheetViews>
  <sheetFormatPr defaultColWidth="9.140625" defaultRowHeight="15" customHeight="1"/>
  <cols>
    <col min="1" max="1" width="35.42578125" style="21" customWidth="1"/>
    <col min="2" max="2" width="17.42578125" style="21" customWidth="1"/>
    <col min="3" max="3" width="15.85546875" style="21" customWidth="1"/>
    <col min="4" max="4" width="59.140625" style="21" customWidth="1"/>
    <col min="5" max="5" width="29" style="21" customWidth="1"/>
    <col min="6" max="6" width="25.42578125" style="21" customWidth="1"/>
    <col min="7" max="7" width="17.5703125" style="21" customWidth="1"/>
    <col min="8" max="8" width="20" style="21" customWidth="1"/>
    <col min="9" max="9" width="20.140625" style="21" customWidth="1"/>
    <col min="10" max="10" width="22" style="21" customWidth="1"/>
    <col min="11" max="11" width="21.42578125" style="21" customWidth="1"/>
    <col min="12" max="12" width="17.140625" style="21" customWidth="1"/>
    <col min="13" max="13" width="17.5703125" style="21" customWidth="1"/>
    <col min="14" max="14" width="22.42578125" style="21" customWidth="1"/>
    <col min="15" max="15" width="18.140625" style="21" customWidth="1"/>
    <col min="16" max="16" width="86.5703125" style="21" customWidth="1"/>
    <col min="17" max="16384" width="9.140625" style="21"/>
  </cols>
  <sheetData>
    <row r="1" spans="1:16" s="22" customFormat="1" ht="116.1" customHeight="1">
      <c r="A1" s="24" t="s">
        <v>60</v>
      </c>
      <c r="B1" s="24" t="s">
        <v>61</v>
      </c>
      <c r="C1" s="24" t="s">
        <v>62</v>
      </c>
      <c r="D1" s="62" t="s">
        <v>63</v>
      </c>
      <c r="E1" s="25" t="s">
        <v>64</v>
      </c>
      <c r="F1" s="25" t="s">
        <v>65</v>
      </c>
      <c r="G1" s="26" t="s">
        <v>66</v>
      </c>
      <c r="H1" s="27" t="s">
        <v>67</v>
      </c>
      <c r="I1" s="26" t="s">
        <v>68</v>
      </c>
      <c r="J1" s="27" t="s">
        <v>69</v>
      </c>
      <c r="K1" s="27" t="s">
        <v>70</v>
      </c>
      <c r="L1" s="27" t="s">
        <v>71</v>
      </c>
      <c r="M1" s="27" t="s">
        <v>72</v>
      </c>
      <c r="N1" s="28" t="s">
        <v>73</v>
      </c>
      <c r="O1" s="28" t="s">
        <v>74</v>
      </c>
      <c r="P1" s="29" t="s">
        <v>75</v>
      </c>
    </row>
    <row r="2" spans="1:16" ht="33" customHeight="1">
      <c r="A2" s="15" t="s">
        <v>76</v>
      </c>
      <c r="B2" s="15" t="s">
        <v>77</v>
      </c>
      <c r="C2" s="15" t="s">
        <v>78</v>
      </c>
      <c r="D2" s="15" t="s">
        <v>79</v>
      </c>
      <c r="E2" s="16" t="s">
        <v>80</v>
      </c>
      <c r="F2" s="16" t="s">
        <v>81</v>
      </c>
      <c r="G2" s="17" t="s">
        <v>82</v>
      </c>
      <c r="H2" s="15" t="s">
        <v>83</v>
      </c>
      <c r="I2" s="18" t="s">
        <v>84</v>
      </c>
      <c r="J2" s="15" t="s">
        <v>85</v>
      </c>
      <c r="K2" s="15" t="s">
        <v>86</v>
      </c>
      <c r="L2" s="15" t="s">
        <v>87</v>
      </c>
      <c r="M2" s="15" t="s">
        <v>88</v>
      </c>
      <c r="N2" s="19" t="s">
        <v>89</v>
      </c>
      <c r="O2" s="19" t="s">
        <v>90</v>
      </c>
      <c r="P2" s="20" t="s">
        <v>91</v>
      </c>
    </row>
    <row r="3" spans="1:16" s="38" customFormat="1" ht="271.5" customHeight="1">
      <c r="A3" s="61" t="s">
        <v>92</v>
      </c>
      <c r="B3" s="31" t="s">
        <v>93</v>
      </c>
      <c r="C3" s="53" t="s">
        <v>94</v>
      </c>
      <c r="D3" s="32" t="s">
        <v>95</v>
      </c>
      <c r="E3" s="30" t="s">
        <v>96</v>
      </c>
      <c r="F3" s="30" t="s">
        <v>97</v>
      </c>
      <c r="G3" s="33">
        <v>1000000</v>
      </c>
      <c r="H3" s="35"/>
      <c r="I3" s="34"/>
      <c r="J3" s="30" t="s">
        <v>98</v>
      </c>
      <c r="K3" s="36">
        <v>46048</v>
      </c>
      <c r="L3" s="36">
        <v>46332</v>
      </c>
      <c r="M3" s="37" t="s">
        <v>99</v>
      </c>
      <c r="N3" s="37"/>
      <c r="O3" s="35"/>
      <c r="P3" s="30" t="s">
        <v>100</v>
      </c>
    </row>
    <row r="4" spans="1:16" s="47" customFormat="1" ht="164.45" customHeight="1">
      <c r="A4" s="23" t="s">
        <v>101</v>
      </c>
      <c r="B4" s="39" t="s">
        <v>102</v>
      </c>
      <c r="C4" s="40" t="s">
        <v>103</v>
      </c>
      <c r="D4" s="41" t="s">
        <v>104</v>
      </c>
      <c r="E4" s="23" t="s">
        <v>105</v>
      </c>
      <c r="F4" s="23"/>
      <c r="G4" s="43">
        <v>1000000</v>
      </c>
      <c r="H4" s="45" t="s">
        <v>106</v>
      </c>
      <c r="I4" s="65"/>
      <c r="J4" s="23" t="s">
        <v>107</v>
      </c>
      <c r="K4" s="46"/>
      <c r="L4" s="66" t="s">
        <v>108</v>
      </c>
      <c r="M4" s="23" t="s">
        <v>109</v>
      </c>
      <c r="N4" s="30" t="s">
        <v>110</v>
      </c>
      <c r="O4" s="68" t="s">
        <v>111</v>
      </c>
      <c r="P4" s="23" t="s">
        <v>112</v>
      </c>
    </row>
    <row r="5" spans="1:16" s="47" customFormat="1" ht="172.7" customHeight="1">
      <c r="A5" s="23" t="s">
        <v>113</v>
      </c>
      <c r="B5" s="39" t="s">
        <v>93</v>
      </c>
      <c r="C5" s="40" t="s">
        <v>114</v>
      </c>
      <c r="D5" s="41" t="s">
        <v>115</v>
      </c>
      <c r="E5" s="23" t="s">
        <v>116</v>
      </c>
      <c r="F5" s="42" t="s">
        <v>117</v>
      </c>
      <c r="G5" s="43"/>
      <c r="H5" s="45"/>
      <c r="I5" s="65" t="s">
        <v>118</v>
      </c>
      <c r="J5" s="23" t="s">
        <v>119</v>
      </c>
      <c r="K5" s="46"/>
      <c r="L5" s="46" t="s">
        <v>120</v>
      </c>
      <c r="M5" s="23" t="s">
        <v>121</v>
      </c>
      <c r="N5" s="37"/>
      <c r="O5" s="68" t="s">
        <v>122</v>
      </c>
      <c r="P5" s="42"/>
    </row>
    <row r="6" spans="1:16" s="47" customFormat="1" ht="148.69999999999999" customHeight="1">
      <c r="A6" s="23" t="s">
        <v>123</v>
      </c>
      <c r="B6" s="39" t="s">
        <v>102</v>
      </c>
      <c r="C6" s="40" t="s">
        <v>114</v>
      </c>
      <c r="D6" s="41" t="s">
        <v>124</v>
      </c>
      <c r="E6" s="23" t="s">
        <v>125</v>
      </c>
      <c r="F6" s="23" t="s">
        <v>126</v>
      </c>
      <c r="G6" s="43" t="s">
        <v>127</v>
      </c>
      <c r="H6" s="45" t="s">
        <v>128</v>
      </c>
      <c r="I6" s="65" t="s">
        <v>129</v>
      </c>
      <c r="J6" s="23" t="s">
        <v>130</v>
      </c>
      <c r="K6" s="46" t="s">
        <v>131</v>
      </c>
      <c r="L6" s="69" t="s">
        <v>132</v>
      </c>
      <c r="M6" s="23" t="s">
        <v>133</v>
      </c>
      <c r="N6" s="37"/>
      <c r="O6" s="68" t="s">
        <v>134</v>
      </c>
      <c r="P6" s="23" t="s">
        <v>135</v>
      </c>
    </row>
    <row r="7" spans="1:16" s="47" customFormat="1" ht="167.45" customHeight="1">
      <c r="A7" s="23" t="s">
        <v>136</v>
      </c>
      <c r="B7" s="39" t="s">
        <v>102</v>
      </c>
      <c r="C7" s="40" t="s">
        <v>103</v>
      </c>
      <c r="D7" s="41" t="s">
        <v>137</v>
      </c>
      <c r="E7" s="23" t="s">
        <v>138</v>
      </c>
      <c r="F7" s="42" t="s">
        <v>139</v>
      </c>
      <c r="G7" s="70" t="s">
        <v>140</v>
      </c>
      <c r="H7" s="45" t="s">
        <v>141</v>
      </c>
      <c r="I7" s="65" t="s">
        <v>142</v>
      </c>
      <c r="J7" s="42"/>
      <c r="K7" s="46"/>
      <c r="L7" s="46" t="s">
        <v>120</v>
      </c>
      <c r="M7" s="23" t="s">
        <v>143</v>
      </c>
      <c r="N7" s="37"/>
      <c r="O7" s="35" t="s">
        <v>49</v>
      </c>
      <c r="P7" s="42"/>
    </row>
    <row r="8" spans="1:16" s="47" customFormat="1" ht="118.35" customHeight="1">
      <c r="A8" s="64" t="s">
        <v>144</v>
      </c>
      <c r="B8" s="39" t="s">
        <v>93</v>
      </c>
      <c r="C8" s="40" t="s">
        <v>103</v>
      </c>
      <c r="D8" s="41" t="s">
        <v>145</v>
      </c>
      <c r="E8" s="23" t="s">
        <v>146</v>
      </c>
      <c r="F8" s="42" t="s">
        <v>147</v>
      </c>
      <c r="G8" s="70" t="s">
        <v>148</v>
      </c>
      <c r="H8" s="45"/>
      <c r="I8" s="65" t="s">
        <v>149</v>
      </c>
      <c r="J8" s="23" t="s">
        <v>150</v>
      </c>
      <c r="K8" s="46" t="s">
        <v>151</v>
      </c>
      <c r="L8" s="46" t="s">
        <v>152</v>
      </c>
      <c r="M8" s="23" t="s">
        <v>153</v>
      </c>
      <c r="N8" s="30" t="s">
        <v>154</v>
      </c>
      <c r="O8" s="35" t="s">
        <v>49</v>
      </c>
      <c r="P8" s="42"/>
    </row>
    <row r="9" spans="1:16" s="47" customFormat="1" ht="160.5" customHeight="1">
      <c r="A9" s="64" t="s">
        <v>155</v>
      </c>
      <c r="B9" s="39" t="s">
        <v>93</v>
      </c>
      <c r="C9" s="40" t="s">
        <v>114</v>
      </c>
      <c r="D9" s="67" t="s">
        <v>156</v>
      </c>
      <c r="E9" s="23" t="s">
        <v>157</v>
      </c>
      <c r="F9" s="42"/>
      <c r="G9" s="43" t="s">
        <v>158</v>
      </c>
      <c r="H9" s="45"/>
      <c r="I9" s="65" t="s">
        <v>159</v>
      </c>
      <c r="J9" s="23" t="s">
        <v>160</v>
      </c>
      <c r="K9" s="46" t="s">
        <v>161</v>
      </c>
      <c r="L9" s="46" t="s">
        <v>162</v>
      </c>
      <c r="M9" s="23" t="s">
        <v>163</v>
      </c>
      <c r="N9" s="37"/>
      <c r="O9" s="68" t="s">
        <v>164</v>
      </c>
      <c r="P9" s="23" t="s">
        <v>165</v>
      </c>
    </row>
    <row r="10" spans="1:16" s="47" customFormat="1" ht="141" customHeight="1">
      <c r="A10" s="64" t="s">
        <v>166</v>
      </c>
      <c r="B10" s="39" t="s">
        <v>93</v>
      </c>
      <c r="C10" s="40" t="s">
        <v>114</v>
      </c>
      <c r="D10" s="67" t="s">
        <v>167</v>
      </c>
      <c r="E10" s="23" t="s">
        <v>168</v>
      </c>
      <c r="F10" s="23" t="s">
        <v>169</v>
      </c>
      <c r="G10" s="43">
        <v>75000</v>
      </c>
      <c r="H10" s="45" t="s">
        <v>128</v>
      </c>
      <c r="I10" s="65" t="s">
        <v>170</v>
      </c>
      <c r="J10" s="23" t="s">
        <v>171</v>
      </c>
      <c r="K10" s="46" t="s">
        <v>172</v>
      </c>
      <c r="L10" s="46"/>
      <c r="M10" s="23" t="s">
        <v>173</v>
      </c>
      <c r="N10" s="30" t="s">
        <v>174</v>
      </c>
      <c r="O10" s="68"/>
      <c r="P10" s="42" t="s">
        <v>175</v>
      </c>
    </row>
    <row r="11" spans="1:16" s="47" customFormat="1" ht="141.6" customHeight="1">
      <c r="A11" s="64" t="s">
        <v>176</v>
      </c>
      <c r="B11" s="39" t="s">
        <v>93</v>
      </c>
      <c r="C11" s="40" t="s">
        <v>114</v>
      </c>
      <c r="D11" s="41" t="s">
        <v>177</v>
      </c>
      <c r="E11" s="23" t="s">
        <v>178</v>
      </c>
      <c r="F11" s="23" t="s">
        <v>179</v>
      </c>
      <c r="G11" s="43">
        <v>190000</v>
      </c>
      <c r="H11" s="45" t="s">
        <v>141</v>
      </c>
      <c r="I11" s="65" t="s">
        <v>180</v>
      </c>
      <c r="J11" s="23" t="s">
        <v>181</v>
      </c>
      <c r="K11" s="46"/>
      <c r="L11" s="46"/>
      <c r="M11" s="23" t="s">
        <v>163</v>
      </c>
      <c r="N11" s="30" t="s">
        <v>182</v>
      </c>
      <c r="O11" s="35"/>
      <c r="P11" s="42" t="s">
        <v>183</v>
      </c>
    </row>
    <row r="12" spans="1:16" s="47" customFormat="1" ht="89.45" customHeight="1">
      <c r="A12" s="64" t="s">
        <v>184</v>
      </c>
      <c r="B12" s="39" t="s">
        <v>93</v>
      </c>
      <c r="C12" s="40" t="s">
        <v>114</v>
      </c>
      <c r="D12" s="41" t="s">
        <v>185</v>
      </c>
      <c r="E12" s="23" t="s">
        <v>186</v>
      </c>
      <c r="F12" s="23" t="s">
        <v>187</v>
      </c>
      <c r="G12" s="70"/>
      <c r="H12" s="45" t="s">
        <v>141</v>
      </c>
      <c r="I12" s="65" t="s">
        <v>188</v>
      </c>
      <c r="J12" s="23" t="s">
        <v>189</v>
      </c>
      <c r="K12" s="46">
        <v>46023</v>
      </c>
      <c r="L12" s="46"/>
      <c r="M12" s="42" t="s">
        <v>190</v>
      </c>
      <c r="N12" s="37"/>
      <c r="O12" s="35"/>
      <c r="P12" s="23" t="s">
        <v>191</v>
      </c>
    </row>
    <row r="13" spans="1:16" s="47" customFormat="1" ht="189" customHeight="1">
      <c r="A13" s="64" t="s">
        <v>192</v>
      </c>
      <c r="B13" s="39" t="s">
        <v>93</v>
      </c>
      <c r="C13" s="40" t="s">
        <v>193</v>
      </c>
      <c r="D13" s="67" t="s">
        <v>194</v>
      </c>
      <c r="E13" s="23" t="s">
        <v>195</v>
      </c>
      <c r="F13" s="23" t="s">
        <v>196</v>
      </c>
      <c r="G13" s="43">
        <v>86000</v>
      </c>
      <c r="H13" s="45" t="s">
        <v>128</v>
      </c>
      <c r="I13" s="65" t="s">
        <v>197</v>
      </c>
      <c r="J13" s="23" t="s">
        <v>198</v>
      </c>
      <c r="K13" s="46" t="s">
        <v>199</v>
      </c>
      <c r="L13" s="46"/>
      <c r="M13" s="42" t="s">
        <v>190</v>
      </c>
      <c r="N13" s="30" t="s">
        <v>200</v>
      </c>
      <c r="O13" s="68" t="s">
        <v>201</v>
      </c>
      <c r="P13" s="23" t="s">
        <v>202</v>
      </c>
    </row>
    <row r="14" spans="1:16" s="47" customFormat="1" ht="169.7" customHeight="1">
      <c r="A14" s="64" t="s">
        <v>203</v>
      </c>
      <c r="B14" s="39" t="s">
        <v>93</v>
      </c>
      <c r="C14" s="40" t="s">
        <v>193</v>
      </c>
      <c r="D14" s="41" t="s">
        <v>204</v>
      </c>
      <c r="E14" s="23" t="s">
        <v>205</v>
      </c>
      <c r="F14" s="23" t="s">
        <v>206</v>
      </c>
      <c r="G14" s="43">
        <v>220000</v>
      </c>
      <c r="H14" s="45" t="s">
        <v>128</v>
      </c>
      <c r="I14" s="65" t="s">
        <v>207</v>
      </c>
      <c r="J14" s="23" t="s">
        <v>208</v>
      </c>
      <c r="K14" s="46" t="s">
        <v>199</v>
      </c>
      <c r="L14" s="46"/>
      <c r="M14" s="42" t="s">
        <v>190</v>
      </c>
      <c r="N14" s="30" t="s">
        <v>209</v>
      </c>
      <c r="O14" s="71" t="s">
        <v>201</v>
      </c>
      <c r="P14" s="42" t="s">
        <v>210</v>
      </c>
    </row>
    <row r="15" spans="1:16" s="47" customFormat="1" ht="100.5" customHeight="1">
      <c r="A15" s="64" t="s">
        <v>211</v>
      </c>
      <c r="B15" s="72" t="s">
        <v>212</v>
      </c>
      <c r="C15" s="53" t="s">
        <v>193</v>
      </c>
      <c r="D15" s="67" t="s">
        <v>213</v>
      </c>
      <c r="E15" s="64" t="s">
        <v>214</v>
      </c>
      <c r="F15" s="64" t="s">
        <v>215</v>
      </c>
      <c r="G15" s="78" t="s">
        <v>216</v>
      </c>
      <c r="H15" s="74"/>
      <c r="I15" s="75"/>
      <c r="J15" s="64"/>
      <c r="K15" s="66"/>
      <c r="L15" s="66"/>
      <c r="M15" s="76" t="s">
        <v>190</v>
      </c>
      <c r="N15" s="61"/>
      <c r="O15" s="71"/>
      <c r="P15" s="82" t="s">
        <v>217</v>
      </c>
    </row>
    <row r="16" spans="1:16" s="47" customFormat="1" ht="100.5" customHeight="1">
      <c r="A16" s="64" t="s">
        <v>218</v>
      </c>
      <c r="B16" s="72" t="s">
        <v>93</v>
      </c>
      <c r="C16" s="53" t="s">
        <v>193</v>
      </c>
      <c r="D16" s="67" t="s">
        <v>219</v>
      </c>
      <c r="E16" s="64" t="s">
        <v>220</v>
      </c>
      <c r="F16" s="64" t="s">
        <v>221</v>
      </c>
      <c r="G16" s="78">
        <v>75000</v>
      </c>
      <c r="H16" s="74" t="s">
        <v>128</v>
      </c>
      <c r="I16" s="75" t="s">
        <v>222</v>
      </c>
      <c r="J16" s="64" t="s">
        <v>223</v>
      </c>
      <c r="K16" s="66" t="s">
        <v>199</v>
      </c>
      <c r="L16" s="66"/>
      <c r="M16" s="64" t="s">
        <v>224</v>
      </c>
      <c r="N16" s="61"/>
      <c r="O16" s="71"/>
      <c r="P16" s="77"/>
    </row>
    <row r="17" spans="1:16" s="47" customFormat="1" ht="143.25" customHeight="1">
      <c r="A17" s="64" t="s">
        <v>225</v>
      </c>
      <c r="B17" s="39" t="s">
        <v>93</v>
      </c>
      <c r="C17" s="40" t="s">
        <v>114</v>
      </c>
      <c r="D17" s="41" t="s">
        <v>226</v>
      </c>
      <c r="E17" s="23" t="s">
        <v>227</v>
      </c>
      <c r="F17" s="42"/>
      <c r="G17" s="43"/>
      <c r="H17" s="45"/>
      <c r="I17" s="75" t="s">
        <v>228</v>
      </c>
      <c r="J17" s="42"/>
      <c r="K17" s="46"/>
      <c r="L17" s="46"/>
      <c r="M17" s="23" t="s">
        <v>229</v>
      </c>
      <c r="N17" s="37"/>
      <c r="O17" s="35"/>
      <c r="P17" s="42"/>
    </row>
    <row r="18" spans="1:16" s="47" customFormat="1" ht="143.25" customHeight="1">
      <c r="A18" s="64" t="s">
        <v>230</v>
      </c>
      <c r="B18" s="39" t="s">
        <v>93</v>
      </c>
      <c r="C18" s="40" t="s">
        <v>193</v>
      </c>
      <c r="D18" s="41" t="s">
        <v>231</v>
      </c>
      <c r="E18" s="23" t="s">
        <v>232</v>
      </c>
      <c r="F18" s="42"/>
      <c r="G18" s="43">
        <v>160000</v>
      </c>
      <c r="H18" s="45" t="s">
        <v>128</v>
      </c>
      <c r="I18" s="65" t="s">
        <v>233</v>
      </c>
      <c r="J18" s="42" t="s">
        <v>234</v>
      </c>
      <c r="K18" s="46" t="s">
        <v>235</v>
      </c>
      <c r="L18" s="46"/>
      <c r="M18" s="23" t="s">
        <v>190</v>
      </c>
      <c r="N18" s="37"/>
      <c r="O18" s="68" t="s">
        <v>236</v>
      </c>
      <c r="P18" s="23" t="s">
        <v>237</v>
      </c>
    </row>
    <row r="19" spans="1:16" s="47" customFormat="1" ht="143.25" customHeight="1">
      <c r="A19" s="64" t="s">
        <v>238</v>
      </c>
      <c r="B19" s="39" t="s">
        <v>93</v>
      </c>
      <c r="C19" s="40" t="s">
        <v>114</v>
      </c>
      <c r="D19" s="41" t="s">
        <v>239</v>
      </c>
      <c r="E19" s="23" t="s">
        <v>240</v>
      </c>
      <c r="F19" s="42"/>
      <c r="G19" s="43">
        <v>45000</v>
      </c>
      <c r="H19" s="45" t="s">
        <v>128</v>
      </c>
      <c r="I19" s="65"/>
      <c r="J19" s="23" t="s">
        <v>241</v>
      </c>
      <c r="K19" s="46" t="s">
        <v>242</v>
      </c>
      <c r="L19" s="46"/>
      <c r="M19" s="23" t="s">
        <v>243</v>
      </c>
      <c r="N19" s="37"/>
      <c r="O19" s="68"/>
      <c r="P19" s="64" t="s">
        <v>244</v>
      </c>
    </row>
    <row r="20" spans="1:16" s="47" customFormat="1" ht="217.7" customHeight="1">
      <c r="A20" s="64" t="s">
        <v>245</v>
      </c>
      <c r="B20" s="39" t="s">
        <v>93</v>
      </c>
      <c r="C20" s="40" t="s">
        <v>246</v>
      </c>
      <c r="D20" s="67" t="s">
        <v>247</v>
      </c>
      <c r="E20" s="23" t="s">
        <v>248</v>
      </c>
      <c r="F20" s="23" t="s">
        <v>249</v>
      </c>
      <c r="G20" s="43">
        <v>127000</v>
      </c>
      <c r="H20" s="45" t="s">
        <v>128</v>
      </c>
      <c r="I20" s="44"/>
      <c r="J20" s="23" t="s">
        <v>250</v>
      </c>
      <c r="K20" s="46" t="s">
        <v>251</v>
      </c>
      <c r="L20" s="46" t="s">
        <v>252</v>
      </c>
      <c r="M20" s="42" t="s">
        <v>190</v>
      </c>
      <c r="N20" s="37"/>
      <c r="O20" s="35" t="s">
        <v>49</v>
      </c>
      <c r="P20" s="42"/>
    </row>
    <row r="21" spans="1:16" s="47" customFormat="1" ht="89.45" customHeight="1">
      <c r="A21" s="64" t="s">
        <v>253</v>
      </c>
      <c r="B21" s="39" t="s">
        <v>93</v>
      </c>
      <c r="C21" s="40" t="s">
        <v>103</v>
      </c>
      <c r="D21" s="67" t="s">
        <v>254</v>
      </c>
      <c r="E21" s="23" t="s">
        <v>255</v>
      </c>
      <c r="F21" s="23" t="s">
        <v>256</v>
      </c>
      <c r="G21" s="43">
        <v>140000</v>
      </c>
      <c r="H21" s="45" t="s">
        <v>128</v>
      </c>
      <c r="I21" s="44" t="s">
        <v>257</v>
      </c>
      <c r="J21" s="42"/>
      <c r="K21" s="46">
        <v>46042</v>
      </c>
      <c r="L21" s="46" t="s">
        <v>258</v>
      </c>
      <c r="M21" s="42" t="s">
        <v>190</v>
      </c>
      <c r="N21" s="30" t="s">
        <v>259</v>
      </c>
      <c r="O21" s="35"/>
      <c r="P21" s="42"/>
    </row>
    <row r="22" spans="1:16" s="47" customFormat="1" ht="89.45" customHeight="1">
      <c r="A22" s="64" t="s">
        <v>260</v>
      </c>
      <c r="B22" s="39" t="s">
        <v>93</v>
      </c>
      <c r="C22" s="40" t="s">
        <v>90</v>
      </c>
      <c r="D22" s="41" t="s">
        <v>261</v>
      </c>
      <c r="E22" s="23" t="s">
        <v>262</v>
      </c>
      <c r="F22" s="42"/>
      <c r="G22" s="70" t="s">
        <v>263</v>
      </c>
      <c r="H22" s="45" t="s">
        <v>128</v>
      </c>
      <c r="I22" s="65" t="s">
        <v>264</v>
      </c>
      <c r="J22" s="42" t="s">
        <v>265</v>
      </c>
      <c r="K22" s="46"/>
      <c r="L22" s="46" t="s">
        <v>266</v>
      </c>
      <c r="M22" s="42" t="s">
        <v>267</v>
      </c>
      <c r="N22" s="37"/>
      <c r="O22" s="35"/>
      <c r="P22" s="42"/>
    </row>
    <row r="23" spans="1:16" s="47" customFormat="1" ht="160.35" customHeight="1">
      <c r="A23" s="64" t="s">
        <v>268</v>
      </c>
      <c r="B23" s="39" t="s">
        <v>102</v>
      </c>
      <c r="C23" s="40" t="s">
        <v>90</v>
      </c>
      <c r="D23" s="67" t="s">
        <v>269</v>
      </c>
      <c r="E23" s="23" t="s">
        <v>270</v>
      </c>
      <c r="F23" s="42"/>
      <c r="G23" s="70" t="s">
        <v>271</v>
      </c>
      <c r="H23" s="45" t="s">
        <v>103</v>
      </c>
      <c r="I23" s="44"/>
      <c r="J23" s="42"/>
      <c r="K23" s="46"/>
      <c r="L23" s="69" t="s">
        <v>272</v>
      </c>
      <c r="M23" s="23" t="s">
        <v>273</v>
      </c>
      <c r="N23" s="37"/>
      <c r="O23" s="35" t="s">
        <v>274</v>
      </c>
      <c r="P23" s="23" t="s">
        <v>275</v>
      </c>
    </row>
    <row r="24" spans="1:16" s="47" customFormat="1" ht="204" customHeight="1">
      <c r="A24" s="64" t="s">
        <v>276</v>
      </c>
      <c r="B24" s="39" t="s">
        <v>212</v>
      </c>
      <c r="C24" s="40" t="s">
        <v>90</v>
      </c>
      <c r="D24" s="67" t="s">
        <v>277</v>
      </c>
      <c r="E24" s="23" t="s">
        <v>278</v>
      </c>
      <c r="F24" s="42"/>
      <c r="G24" s="43" t="s">
        <v>279</v>
      </c>
      <c r="H24" s="45"/>
      <c r="I24" s="44"/>
      <c r="J24" s="64" t="s">
        <v>280</v>
      </c>
      <c r="K24" s="46" t="s">
        <v>151</v>
      </c>
      <c r="L24" s="46" t="s">
        <v>162</v>
      </c>
      <c r="M24" s="42" t="s">
        <v>281</v>
      </c>
      <c r="N24" s="37"/>
      <c r="O24" s="35" t="s">
        <v>282</v>
      </c>
      <c r="P24" s="42"/>
    </row>
    <row r="25" spans="1:16" s="47" customFormat="1" ht="89.45" customHeight="1">
      <c r="A25" s="64" t="s">
        <v>283</v>
      </c>
      <c r="B25" s="39" t="s">
        <v>93</v>
      </c>
      <c r="C25" s="40" t="s">
        <v>103</v>
      </c>
      <c r="D25" s="67" t="s">
        <v>284</v>
      </c>
      <c r="E25" s="23" t="s">
        <v>285</v>
      </c>
      <c r="F25" s="42"/>
      <c r="G25" s="73" t="s">
        <v>286</v>
      </c>
      <c r="H25" s="45" t="s">
        <v>128</v>
      </c>
      <c r="I25" s="44"/>
      <c r="J25" s="23" t="s">
        <v>250</v>
      </c>
      <c r="K25" s="46" t="s">
        <v>251</v>
      </c>
      <c r="L25" s="46" t="s">
        <v>251</v>
      </c>
      <c r="M25" s="42" t="s">
        <v>51</v>
      </c>
      <c r="N25" s="37"/>
      <c r="O25" s="35"/>
      <c r="P25" s="23" t="s">
        <v>287</v>
      </c>
    </row>
    <row r="26" spans="1:16" s="47" customFormat="1" ht="245.45" customHeight="1">
      <c r="A26" s="64" t="s">
        <v>288</v>
      </c>
      <c r="B26" s="39" t="s">
        <v>93</v>
      </c>
      <c r="C26" s="40" t="s">
        <v>246</v>
      </c>
      <c r="D26" s="67" t="s">
        <v>289</v>
      </c>
      <c r="E26" s="23" t="s">
        <v>290</v>
      </c>
      <c r="F26" s="42"/>
      <c r="G26" s="70" t="s">
        <v>291</v>
      </c>
      <c r="H26" s="45"/>
      <c r="I26" s="44"/>
      <c r="J26" s="76" t="s">
        <v>292</v>
      </c>
      <c r="K26" s="46" t="s">
        <v>161</v>
      </c>
      <c r="L26" s="46" t="s">
        <v>151</v>
      </c>
      <c r="M26" s="42" t="s">
        <v>51</v>
      </c>
      <c r="N26" s="37"/>
      <c r="O26" s="35"/>
      <c r="P26" s="42"/>
    </row>
    <row r="27" spans="1:16" s="47" customFormat="1" ht="89.45" customHeight="1">
      <c r="A27" s="64" t="s">
        <v>293</v>
      </c>
      <c r="B27" s="39" t="s">
        <v>102</v>
      </c>
      <c r="C27" s="40" t="s">
        <v>103</v>
      </c>
      <c r="D27" s="41" t="s">
        <v>294</v>
      </c>
      <c r="E27" s="64" t="s">
        <v>295</v>
      </c>
      <c r="F27" s="64" t="s">
        <v>296</v>
      </c>
      <c r="G27" s="73" t="s">
        <v>297</v>
      </c>
      <c r="H27" s="45" t="s">
        <v>128</v>
      </c>
      <c r="I27" s="44"/>
      <c r="J27" s="42"/>
      <c r="K27" s="66" t="s">
        <v>298</v>
      </c>
      <c r="L27" s="66" t="s">
        <v>299</v>
      </c>
      <c r="M27" s="23" t="s">
        <v>300</v>
      </c>
      <c r="N27" s="37"/>
      <c r="O27" s="83" t="s">
        <v>49</v>
      </c>
      <c r="P27" s="42"/>
    </row>
    <row r="28" spans="1:16" s="47" customFormat="1" ht="89.45" customHeight="1">
      <c r="A28" s="64" t="s">
        <v>301</v>
      </c>
      <c r="B28" s="39" t="s">
        <v>212</v>
      </c>
      <c r="C28" s="40" t="s">
        <v>90</v>
      </c>
      <c r="D28" s="41" t="s">
        <v>302</v>
      </c>
      <c r="E28" s="64" t="s">
        <v>303</v>
      </c>
      <c r="F28" s="76" t="s">
        <v>304</v>
      </c>
      <c r="G28" s="43"/>
      <c r="H28" s="45"/>
      <c r="I28" s="75" t="s">
        <v>305</v>
      </c>
      <c r="J28" s="64" t="s">
        <v>306</v>
      </c>
      <c r="K28" s="66" t="s">
        <v>161</v>
      </c>
      <c r="L28" s="66" t="s">
        <v>151</v>
      </c>
      <c r="M28" s="23" t="s">
        <v>307</v>
      </c>
      <c r="N28" s="84" t="s">
        <v>151</v>
      </c>
      <c r="O28" s="71" t="s">
        <v>308</v>
      </c>
      <c r="P28" s="42"/>
    </row>
    <row r="29" spans="1:16" s="47" customFormat="1" ht="89.45" customHeight="1">
      <c r="A29" s="64" t="s">
        <v>309</v>
      </c>
      <c r="B29" s="39" t="s">
        <v>93</v>
      </c>
      <c r="C29" s="40" t="s">
        <v>90</v>
      </c>
      <c r="D29" s="67" t="s">
        <v>310</v>
      </c>
      <c r="E29" s="64" t="s">
        <v>311</v>
      </c>
      <c r="F29" s="42"/>
      <c r="G29" s="78" t="s">
        <v>312</v>
      </c>
      <c r="H29" s="45"/>
      <c r="I29" s="44"/>
      <c r="J29" s="42"/>
      <c r="K29" s="46"/>
      <c r="L29" s="46"/>
      <c r="M29" s="42" t="s">
        <v>51</v>
      </c>
      <c r="N29" s="37"/>
      <c r="O29" s="35" t="s">
        <v>313</v>
      </c>
      <c r="P29" s="23" t="s">
        <v>314</v>
      </c>
    </row>
    <row r="30" spans="1:16" s="47" customFormat="1" ht="89.45" customHeight="1">
      <c r="A30" s="64" t="s">
        <v>315</v>
      </c>
      <c r="B30" s="39" t="s">
        <v>93</v>
      </c>
      <c r="C30" s="40" t="s">
        <v>114</v>
      </c>
      <c r="D30" s="41" t="s">
        <v>316</v>
      </c>
      <c r="E30" s="23" t="s">
        <v>317</v>
      </c>
      <c r="F30" s="23" t="s">
        <v>318</v>
      </c>
      <c r="G30" s="43" t="s">
        <v>319</v>
      </c>
      <c r="H30" s="45" t="s">
        <v>128</v>
      </c>
      <c r="I30" s="44"/>
      <c r="J30" s="23" t="s">
        <v>320</v>
      </c>
      <c r="K30" s="46" t="s">
        <v>251</v>
      </c>
      <c r="L30" s="46"/>
      <c r="M30" s="23" t="s">
        <v>51</v>
      </c>
      <c r="N30" s="37"/>
      <c r="O30" s="35" t="s">
        <v>313</v>
      </c>
      <c r="P30" s="23" t="s">
        <v>321</v>
      </c>
    </row>
    <row r="31" spans="1:16" s="47" customFormat="1" ht="89.45" customHeight="1">
      <c r="A31" s="64" t="s">
        <v>322</v>
      </c>
      <c r="B31" s="39" t="s">
        <v>102</v>
      </c>
      <c r="C31" s="40" t="s">
        <v>94</v>
      </c>
      <c r="D31" s="41" t="s">
        <v>323</v>
      </c>
      <c r="E31" s="23" t="s">
        <v>324</v>
      </c>
      <c r="F31" s="42" t="s">
        <v>325</v>
      </c>
      <c r="G31" s="43" t="s">
        <v>326</v>
      </c>
      <c r="H31" s="45" t="s">
        <v>128</v>
      </c>
      <c r="I31" s="44"/>
      <c r="J31" s="42"/>
      <c r="K31" s="46" t="s">
        <v>251</v>
      </c>
      <c r="L31" s="46"/>
      <c r="M31" s="42" t="s">
        <v>51</v>
      </c>
      <c r="N31" s="37"/>
      <c r="O31" s="35"/>
      <c r="P31" s="42"/>
    </row>
    <row r="32" spans="1:16" s="47" customFormat="1" ht="89.45" customHeight="1">
      <c r="A32" s="64" t="s">
        <v>327</v>
      </c>
      <c r="B32" s="39" t="s">
        <v>102</v>
      </c>
      <c r="C32" s="40" t="s">
        <v>90</v>
      </c>
      <c r="D32" s="41" t="s">
        <v>328</v>
      </c>
      <c r="E32" s="23" t="s">
        <v>329</v>
      </c>
      <c r="F32" s="42"/>
      <c r="G32" s="70" t="s">
        <v>330</v>
      </c>
      <c r="H32" s="45"/>
      <c r="I32" s="44"/>
      <c r="J32" s="23" t="s">
        <v>331</v>
      </c>
      <c r="K32" s="46" t="s">
        <v>161</v>
      </c>
      <c r="L32" s="46" t="s">
        <v>151</v>
      </c>
      <c r="M32" s="42" t="s">
        <v>51</v>
      </c>
      <c r="N32" s="37"/>
      <c r="O32" s="35"/>
      <c r="P32" s="42"/>
    </row>
    <row r="33" spans="1:16" s="47" customFormat="1" ht="148.35" customHeight="1">
      <c r="A33" s="64" t="s">
        <v>332</v>
      </c>
      <c r="B33" s="39" t="s">
        <v>102</v>
      </c>
      <c r="C33" s="40" t="s">
        <v>114</v>
      </c>
      <c r="D33" s="41" t="s">
        <v>333</v>
      </c>
      <c r="E33" s="23" t="s">
        <v>334</v>
      </c>
      <c r="F33" s="23" t="s">
        <v>335</v>
      </c>
      <c r="G33" s="70" t="s">
        <v>336</v>
      </c>
      <c r="H33" s="45" t="s">
        <v>103</v>
      </c>
      <c r="I33" s="65" t="s">
        <v>337</v>
      </c>
      <c r="J33" s="23" t="s">
        <v>338</v>
      </c>
      <c r="K33" s="46" t="s">
        <v>251</v>
      </c>
      <c r="L33" s="46"/>
      <c r="M33" s="23" t="s">
        <v>339</v>
      </c>
      <c r="N33" s="37"/>
      <c r="O33" s="35" t="s">
        <v>313</v>
      </c>
      <c r="P33" s="23" t="s">
        <v>340</v>
      </c>
    </row>
    <row r="34" spans="1:16" s="47" customFormat="1" ht="89.45" customHeight="1">
      <c r="A34" s="64" t="s">
        <v>341</v>
      </c>
      <c r="B34" s="39" t="s">
        <v>102</v>
      </c>
      <c r="C34" s="40" t="s">
        <v>114</v>
      </c>
      <c r="D34" s="41" t="s">
        <v>342</v>
      </c>
      <c r="E34" s="23" t="s">
        <v>343</v>
      </c>
      <c r="F34" s="42"/>
      <c r="G34" s="43" t="s">
        <v>344</v>
      </c>
      <c r="H34" s="45"/>
      <c r="I34" s="65" t="s">
        <v>345</v>
      </c>
      <c r="J34" s="23" t="s">
        <v>346</v>
      </c>
      <c r="K34" s="46" t="s">
        <v>161</v>
      </c>
      <c r="L34" s="46" t="s">
        <v>347</v>
      </c>
      <c r="M34" s="42" t="s">
        <v>348</v>
      </c>
      <c r="N34" s="37"/>
      <c r="O34" s="35" t="s">
        <v>313</v>
      </c>
      <c r="P34" s="23" t="s">
        <v>349</v>
      </c>
    </row>
    <row r="35" spans="1:16" ht="14.45"/>
    <row r="36" spans="1:16" ht="15" hidden="1" customHeight="1"/>
  </sheetData>
  <dataValidations count="4">
    <dataValidation allowBlank="1" showInputMessage="1" showErrorMessage="1" sqref="A1:C1 A2:B2 E1:P2 A3:A34 D1:D34 N3:O34" xr:uid="{6FF9FDFE-57E4-4B40-95BF-0313A0EA7D2C}"/>
    <dataValidation type="list" allowBlank="1" showInputMessage="1" showErrorMessage="1" sqref="B3:B34" xr:uid="{5DAB7581-BECC-4AAE-B4EB-0F0CE0624B9D}">
      <formula1>"Statewide,Hospital,Regional"</formula1>
    </dataValidation>
    <dataValidation type="list" allowBlank="1" showInputMessage="1" showErrorMessage="1" sqref="C3:C34" xr:uid="{BE7F5688-39D1-44B4-BDC7-642A24E40DC7}">
      <formula1>"Clinical Service Redesign,Transfers and Transport,Shared Purchasing,Information Technology,Workforce,Other"</formula1>
    </dataValidation>
    <dataValidation type="list" allowBlank="1" showInputMessage="1" showErrorMessage="1" sqref="H3:H34" xr:uid="{FCCD4BAD-48FB-4417-AFFB-DE15D84CD807}">
      <formula1>"Business Case,Invoice costs,Staff costs,Vendor quote,Other"</formula1>
    </dataValidation>
  </dataValidations>
  <pageMargins left="0.7" right="0.7" top="0.75" bottom="0.75" header="0.3" footer="0.3"/>
  <pageSetup orientation="portrait" r:id="rId1"/>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10"/>
  <sheetViews>
    <sheetView topLeftCell="A5" zoomScaleNormal="100" workbookViewId="0">
      <selection activeCell="D5" sqref="D5"/>
    </sheetView>
  </sheetViews>
  <sheetFormatPr defaultColWidth="8.85546875" defaultRowHeight="18.75" customHeight="1"/>
  <cols>
    <col min="1" max="1" width="11.42578125" style="3" customWidth="1"/>
    <col min="2" max="2" width="19.85546875" style="3" customWidth="1"/>
    <col min="3" max="3" width="19" style="3" customWidth="1"/>
    <col min="4" max="4" width="55.42578125" style="3" customWidth="1"/>
    <col min="5" max="5" width="39.85546875" style="3" customWidth="1"/>
    <col min="6" max="6" width="40.42578125" style="3" customWidth="1"/>
    <col min="7" max="7" width="25.85546875" style="3" customWidth="1"/>
    <col min="8" max="8" width="20.85546875" style="3" customWidth="1"/>
    <col min="9" max="9" width="42.85546875" style="3" customWidth="1"/>
    <col min="10" max="10" width="8.5703125" style="3" customWidth="1"/>
    <col min="11" max="16384" width="8.85546875" style="3"/>
  </cols>
  <sheetData>
    <row r="1" spans="1:17" s="2" customFormat="1" ht="55.35" customHeight="1">
      <c r="A1" s="5" t="s">
        <v>350</v>
      </c>
      <c r="B1" s="1" t="s">
        <v>351</v>
      </c>
      <c r="C1" s="1" t="s">
        <v>352</v>
      </c>
      <c r="D1" s="1" t="s">
        <v>353</v>
      </c>
      <c r="E1" s="1" t="s">
        <v>354</v>
      </c>
      <c r="F1" s="6" t="s">
        <v>355</v>
      </c>
      <c r="G1" s="1" t="s">
        <v>356</v>
      </c>
      <c r="H1" s="1" t="s">
        <v>357</v>
      </c>
      <c r="I1" s="7" t="s">
        <v>358</v>
      </c>
    </row>
    <row r="2" spans="1:17" s="9" customFormat="1" ht="114" customHeight="1">
      <c r="A2" s="63" t="s">
        <v>359</v>
      </c>
      <c r="B2" s="31" t="s">
        <v>360</v>
      </c>
      <c r="C2" s="53" t="s">
        <v>361</v>
      </c>
      <c r="D2" s="32" t="s">
        <v>362</v>
      </c>
      <c r="E2" s="30" t="s">
        <v>363</v>
      </c>
      <c r="F2" s="30" t="s">
        <v>364</v>
      </c>
      <c r="G2" s="33" t="s">
        <v>365</v>
      </c>
      <c r="H2" s="35" t="s">
        <v>366</v>
      </c>
      <c r="I2" s="34" t="s">
        <v>367</v>
      </c>
      <c r="J2" s="2"/>
      <c r="K2" s="2"/>
      <c r="L2" s="2"/>
      <c r="M2" s="2"/>
      <c r="N2" s="2"/>
      <c r="O2" s="2"/>
      <c r="P2" s="2"/>
      <c r="Q2" s="2"/>
    </row>
    <row r="3" spans="1:17" s="9" customFormat="1" ht="103.7" customHeight="1">
      <c r="A3" s="50" t="s">
        <v>368</v>
      </c>
      <c r="B3" s="50" t="s">
        <v>360</v>
      </c>
      <c r="C3" s="50" t="s">
        <v>361</v>
      </c>
      <c r="D3" s="79" t="s">
        <v>369</v>
      </c>
      <c r="E3" s="80" t="s">
        <v>370</v>
      </c>
      <c r="F3" s="51"/>
      <c r="G3" s="50" t="s">
        <v>365</v>
      </c>
      <c r="H3" s="50" t="s">
        <v>371</v>
      </c>
      <c r="I3" s="48" t="s">
        <v>367</v>
      </c>
      <c r="J3" s="2"/>
      <c r="K3" s="2"/>
      <c r="L3" s="2"/>
      <c r="M3" s="2"/>
      <c r="N3" s="2"/>
      <c r="O3" s="2"/>
      <c r="P3" s="2"/>
      <c r="Q3" s="2"/>
    </row>
    <row r="4" spans="1:17" s="9" customFormat="1" ht="173.45" customHeight="1">
      <c r="A4" s="50" t="s">
        <v>368</v>
      </c>
      <c r="B4" s="50" t="s">
        <v>103</v>
      </c>
      <c r="C4" s="50" t="s">
        <v>372</v>
      </c>
      <c r="D4" s="79" t="s">
        <v>373</v>
      </c>
      <c r="E4" s="80" t="s">
        <v>374</v>
      </c>
      <c r="F4" s="81" t="s">
        <v>375</v>
      </c>
      <c r="G4" s="50" t="s">
        <v>365</v>
      </c>
      <c r="H4" s="50" t="s">
        <v>376</v>
      </c>
      <c r="I4" s="48" t="s">
        <v>367</v>
      </c>
      <c r="J4" s="2"/>
      <c r="K4" s="2"/>
      <c r="L4" s="2"/>
      <c r="M4" s="2"/>
      <c r="N4" s="2"/>
      <c r="O4" s="2"/>
      <c r="P4" s="2"/>
      <c r="Q4" s="2"/>
    </row>
    <row r="5" spans="1:17" s="9" customFormat="1" ht="110.45" customHeight="1">
      <c r="A5" s="50" t="s">
        <v>377</v>
      </c>
      <c r="B5" s="50" t="s">
        <v>378</v>
      </c>
      <c r="C5" s="50" t="s">
        <v>361</v>
      </c>
      <c r="D5" s="79" t="s">
        <v>379</v>
      </c>
      <c r="E5" s="80" t="s">
        <v>380</v>
      </c>
      <c r="F5" s="51"/>
      <c r="G5" s="50" t="s">
        <v>365</v>
      </c>
      <c r="H5" s="50" t="s">
        <v>371</v>
      </c>
      <c r="I5" s="48" t="s">
        <v>367</v>
      </c>
    </row>
    <row r="6" spans="1:17" ht="18.600000000000001"/>
    <row r="10" spans="1:17" s="4" customFormat="1" ht="104.25" customHeight="1">
      <c r="A10" s="89" t="s">
        <v>381</v>
      </c>
      <c r="B10" s="89"/>
      <c r="C10" s="89"/>
      <c r="D10" s="89"/>
      <c r="E10" s="89"/>
      <c r="F10" s="89"/>
    </row>
  </sheetData>
  <mergeCells count="1">
    <mergeCell ref="A10:F10"/>
  </mergeCells>
  <dataValidations count="4">
    <dataValidation type="list" allowBlank="1" showInputMessage="1" showErrorMessage="1" sqref="G2:G5" xr:uid="{A0615E9F-3DCD-4FAA-9DAE-D98946827056}">
      <formula1>"Low,Medium,High"</formula1>
    </dataValidation>
    <dataValidation type="list" allowBlank="1" showInputMessage="1" showErrorMessage="1" sqref="I2:I5" xr:uid="{FC6CB2DC-4B6E-46D2-97BA-D76BBF2B9896}">
      <formula1>"Open,Monitoring,Mitigated,Closed"</formula1>
    </dataValidation>
    <dataValidation type="list" allowBlank="1" showInputMessage="1" showErrorMessage="1" sqref="B2:C5" xr:uid="{E455AD5F-B350-44C8-8941-C213287E425D}">
      <formula1>"Work Force, Acess to Care, Quality of Care, Financial Stability, Risk to area residents,Legal,Regulatory,Other"</formula1>
    </dataValidation>
    <dataValidation type="list" allowBlank="1" showInputMessage="1" showErrorMessage="1" sqref="H2:H5"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dimension ref="A1:J24"/>
  <sheetViews>
    <sheetView workbookViewId="0">
      <selection activeCell="E4" sqref="E4"/>
    </sheetView>
  </sheetViews>
  <sheetFormatPr defaultColWidth="8.85546875" defaultRowHeight="29.25" customHeight="1"/>
  <cols>
    <col min="1" max="1" width="15.42578125" style="49" customWidth="1"/>
    <col min="2" max="2" width="31.5703125" style="49" customWidth="1"/>
    <col min="3" max="3" width="29.85546875" style="49" customWidth="1"/>
    <col min="4" max="5" width="36.5703125" style="49" customWidth="1"/>
    <col min="6" max="6" width="34.42578125" style="49" customWidth="1"/>
    <col min="7" max="7" width="27.5703125" style="49" customWidth="1"/>
    <col min="8" max="8" width="32.42578125" style="49" customWidth="1"/>
    <col min="9" max="16384" width="8.85546875" style="49"/>
  </cols>
  <sheetData>
    <row r="1" spans="1:10" s="9" customFormat="1" ht="34.5" customHeight="1">
      <c r="A1" s="8" t="s">
        <v>382</v>
      </c>
      <c r="B1" s="7" t="s">
        <v>383</v>
      </c>
      <c r="C1" s="8" t="s">
        <v>384</v>
      </c>
      <c r="D1" s="8" t="s">
        <v>385</v>
      </c>
      <c r="E1" s="7" t="s">
        <v>386</v>
      </c>
      <c r="F1" s="7" t="s">
        <v>387</v>
      </c>
      <c r="G1" s="7" t="s">
        <v>388</v>
      </c>
      <c r="H1" s="8" t="s">
        <v>389</v>
      </c>
    </row>
    <row r="2" spans="1:10" s="9" customFormat="1" ht="29.25" customHeight="1">
      <c r="A2" s="48" t="s">
        <v>390</v>
      </c>
      <c r="B2" s="48"/>
      <c r="C2" s="48"/>
      <c r="D2" s="48"/>
      <c r="E2" s="48"/>
      <c r="F2" s="48"/>
      <c r="G2" s="48"/>
      <c r="H2" s="48"/>
    </row>
    <row r="3" spans="1:10" s="9" customFormat="1" ht="29.25" customHeight="1">
      <c r="A3" s="48" t="s">
        <v>391</v>
      </c>
      <c r="B3" s="48"/>
      <c r="C3" s="48"/>
      <c r="D3" s="48"/>
      <c r="E3" s="48"/>
      <c r="F3" s="48"/>
      <c r="G3" s="48"/>
      <c r="H3" s="48"/>
    </row>
    <row r="4" spans="1:10" s="9" customFormat="1" ht="29.25" customHeight="1">
      <c r="A4" s="48"/>
      <c r="B4" s="48"/>
      <c r="C4" s="48"/>
      <c r="D4" s="48"/>
      <c r="E4" s="48"/>
      <c r="F4" s="48"/>
      <c r="G4" s="48"/>
      <c r="H4" s="48"/>
    </row>
    <row r="5" spans="1:10" s="9" customFormat="1" ht="29.25" customHeight="1">
      <c r="A5" s="48"/>
      <c r="B5" s="48"/>
      <c r="C5" s="48"/>
      <c r="D5" s="48"/>
      <c r="E5" s="48"/>
      <c r="F5" s="48"/>
      <c r="G5" s="48"/>
      <c r="H5" s="48"/>
    </row>
    <row r="6" spans="1:10" s="9" customFormat="1" ht="29.25" customHeight="1">
      <c r="A6" s="48"/>
      <c r="B6" s="48"/>
      <c r="C6" s="48"/>
      <c r="D6" s="48"/>
      <c r="E6" s="48"/>
      <c r="F6" s="48"/>
      <c r="G6" s="48"/>
      <c r="H6" s="48"/>
    </row>
    <row r="7" spans="1:10" s="9" customFormat="1" ht="29.25" customHeight="1">
      <c r="A7" s="48"/>
      <c r="B7" s="48"/>
      <c r="C7" s="48"/>
      <c r="D7" s="48"/>
      <c r="E7" s="48"/>
      <c r="F7" s="48"/>
      <c r="G7" s="48"/>
      <c r="H7" s="48"/>
    </row>
    <row r="8" spans="1:10" s="9" customFormat="1" ht="29.25" customHeight="1">
      <c r="A8" s="48"/>
      <c r="B8" s="48"/>
      <c r="C8" s="48"/>
      <c r="D8" s="48"/>
      <c r="E8" s="48"/>
      <c r="F8" s="48"/>
      <c r="G8" s="48"/>
      <c r="H8" s="48"/>
    </row>
    <row r="13" spans="1:10" ht="29.25" customHeight="1">
      <c r="A13" s="89" t="s">
        <v>392</v>
      </c>
      <c r="B13" s="89"/>
      <c r="C13" s="89"/>
      <c r="D13" s="89"/>
      <c r="E13" s="89"/>
      <c r="F13" s="89"/>
      <c r="G13" s="89"/>
      <c r="H13" s="89"/>
      <c r="I13" s="89"/>
      <c r="J13" s="89"/>
    </row>
    <row r="24" spans="1:2" ht="29.25" customHeight="1">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73WRFNMZF6N2-353167544-4739</_dlc_DocId>
    <_dlc_DocIdUrl xmlns="c89e416c-4c29-47f7-9a79-f2bb4fe9a69b">
      <Url>https://vermontgov.sharepoint.com/teams/AHS-COHealthCareReformTeam/_layouts/15/DocIdRedir.aspx?ID=73WRFNMZF6N2-353167544-4739</Url>
      <Description>73WRFNMZF6N2-353167544-4739</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CE1BC1-639F-4D06-885D-1C2B20D17F7E}"/>
</file>

<file path=customXml/itemProps2.xml><?xml version="1.0" encoding="utf-8"?>
<ds:datastoreItem xmlns:ds="http://schemas.openxmlformats.org/officeDocument/2006/customXml" ds:itemID="{8FAC8274-698D-4E01-A334-0D35F763D866}"/>
</file>

<file path=customXml/itemProps3.xml><?xml version="1.0" encoding="utf-8"?>
<ds:datastoreItem xmlns:ds="http://schemas.openxmlformats.org/officeDocument/2006/customXml" ds:itemID="{BCE64B08-F34E-458C-A905-F0FA03EEB7A5}"/>
</file>

<file path=customXml/itemProps4.xml><?xml version="1.0" encoding="utf-8"?>
<ds:datastoreItem xmlns:ds="http://schemas.openxmlformats.org/officeDocument/2006/customXml" ds:itemID="{3EBBF382-BFCF-4DE8-B81B-006956210E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Parker, Julie</cp:lastModifiedBy>
  <cp:revision/>
  <dcterms:created xsi:type="dcterms:W3CDTF">2025-10-30T14:43:30Z</dcterms:created>
  <dcterms:modified xsi:type="dcterms:W3CDTF">2026-02-16T15:52:45Z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327d0337-9bcd-46c5-a50a-7dbbe88a70ae</vt:lpwstr>
  </property>
  <property fmtid="{D5CDD505-2E9C-101B-9397-08002B2CF9AE}" pid="4" name="MediaServiceImageTags">
    <vt:lpwstr/>
  </property>
</Properties>
</file>