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S:\Apps\Blueprint\9. AHS Health Care Reform\Hospital Transformation Plans\"/>
    </mc:Choice>
  </mc:AlternateContent>
  <xr:revisionPtr revIDLastSave="1" documentId="13_ncr:1_{F7520D6F-A002-4BDF-B679-B034EBA58929}" xr6:coauthVersionLast="47" xr6:coauthVersionMax="47" xr10:uidLastSave="{FB4857E9-D229-43CF-BB90-1464A2227647}"/>
  <bookViews>
    <workbookView xWindow="57480" yWindow="-15" windowWidth="29040" windowHeight="17520" firstSheet="1" activeTab="2" xr2:uid="{0C217AEB-ACF8-412A-87B5-FA3F27C51D23}"/>
  </bookViews>
  <sheets>
    <sheet name="Instructions" sheetId="5" r:id="rId1"/>
    <sheet name="1. Hospital Information" sheetId="6" r:id="rId2"/>
    <sheet name="2.Planned Transformation" sheetId="1" r:id="rId3"/>
    <sheet name="3.Risk Mitigation" sheetId="3" r:id="rId4"/>
    <sheet name="4. Communication Strateg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<sst xmlns="http://schemas.openxmlformats.org/spreadsheetml/2006/main" count="412" uniqueCount="286">
  <si>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</si>
  <si>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</si>
  <si>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</si>
  <si>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</si>
  <si>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</si>
  <si>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</si>
  <si>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</si>
  <si>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family val="2"/>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</si>
  <si>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</si>
  <si>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</si>
  <si>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</si>
  <si>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</si>
  <si>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</si>
  <si>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</si>
  <si>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family val="2"/>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</si>
  <si>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</si>
  <si>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family val="2"/>
      </rPr>
      <t>​</t>
    </r>
    <r>
      <rPr>
        <sz val="11"/>
        <rFont val="Aptos"/>
        <family val="2"/>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</si>
  <si>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</si>
  <si>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</si>
  <si>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</si>
  <si>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</si>
  <si>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</si>
  <si>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</si>
  <si>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</si>
  <si>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</si>
  <si>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</si>
  <si>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</si>
  <si>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</si>
  <si>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</si>
  <si>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</si>
  <si>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</si>
  <si>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</si>
  <si>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</si>
  <si>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 xml:space="preserve">UVM Health </t>
  </si>
  <si>
    <t>Hospital Name</t>
  </si>
  <si>
    <t>UVMMC</t>
  </si>
  <si>
    <t>Porter Medical Center</t>
  </si>
  <si>
    <t>Central Vermont Medical Center</t>
  </si>
  <si>
    <t>County</t>
  </si>
  <si>
    <t xml:space="preserve">Chittenden </t>
  </si>
  <si>
    <t>Addison</t>
  </si>
  <si>
    <t>Washington</t>
  </si>
  <si>
    <t>TIN</t>
  </si>
  <si>
    <t>03-0219309</t>
  </si>
  <si>
    <t>03-0181058</t>
  </si>
  <si>
    <t>03-0221120</t>
  </si>
  <si>
    <t>CCN</t>
  </si>
  <si>
    <t>Hospital Number (NPI)</t>
  </si>
  <si>
    <t>Chief Executive Officer</t>
  </si>
  <si>
    <t>Stephen Leffler</t>
  </si>
  <si>
    <t>Robert Ortmyer</t>
  </si>
  <si>
    <t>Anna Tempesta Noonan</t>
  </si>
  <si>
    <t>Senior Clinical Lead</t>
  </si>
  <si>
    <t>Isabelle Desjardins</t>
  </si>
  <si>
    <t>Jun Chon</t>
  </si>
  <si>
    <t>Senior Finance Lead</t>
  </si>
  <si>
    <t>Judy Peek-Lee</t>
  </si>
  <si>
    <t>Scott Comeau</t>
  </si>
  <si>
    <t>Kimberly Patnaude</t>
  </si>
  <si>
    <t>Senior Operations Lead</t>
  </si>
  <si>
    <t xml:space="preserve">Chris Dillon </t>
  </si>
  <si>
    <t>Brandi Helm</t>
  </si>
  <si>
    <t>Joseph Johnston</t>
  </si>
  <si>
    <t>Other Senior Leadership</t>
  </si>
  <si>
    <t>Peg Gagne</t>
  </si>
  <si>
    <t>Linda Havey</t>
  </si>
  <si>
    <t>Matthew Choate</t>
  </si>
  <si>
    <t>Transformation Champion (who will own this work)</t>
  </si>
  <si>
    <t>Jessica Moschella, Chris Dillon, Emmy Wollenburg, and Connie Gavin</t>
  </si>
  <si>
    <t>Type of Hospital (PPS or CAH)</t>
  </si>
  <si>
    <t>Academic Medical Center</t>
  </si>
  <si>
    <t>Critical Access Hospital</t>
  </si>
  <si>
    <t>PPS w/sole community status</t>
  </si>
  <si>
    <t>Hospital ownership (independent or system)</t>
  </si>
  <si>
    <t>System</t>
  </si>
  <si>
    <t>Number of hospital staffed beds</t>
  </si>
  <si>
    <t>Electronic health record system</t>
  </si>
  <si>
    <t>Epic</t>
  </si>
  <si>
    <t xml:space="preserve">Transformation Goal
(hospital, regional, statewide)                              </t>
  </si>
  <si>
    <t>Does this goal focus on hospital or regional objectives
DROP DOWN</t>
  </si>
  <si>
    <t>Does this goal focus on one of the following themes
DROP DOWN</t>
  </si>
  <si>
    <t xml:space="preserve">What Action Steps will be taken to accomplish the Transformation Goal?  List up to 12 Action Steps for each Transformation Goal.   Include bullets with specific details on how these goals will be planned and executed.                                                                                         </t>
  </si>
  <si>
    <t xml:space="preserve">List any stakeholders that will require coordination to achieve this goal (ie; hospitals, providers, shared purchasing entities)                           </t>
  </si>
  <si>
    <t xml:space="preserve">Explain what actions have been taken to engage stakeholders, if applicable    </t>
  </si>
  <si>
    <t>What is the dollar value of investment required?            DOLLAR ENTRY</t>
  </si>
  <si>
    <t>How was the investment dollar value determined?
DROP DOWN</t>
  </si>
  <si>
    <t xml:space="preserve">What are the potential cost savings?                     </t>
  </si>
  <si>
    <t xml:space="preserve">What data measure(s) will be used to determine success?                               </t>
  </si>
  <si>
    <t xml:space="preserve">What is the Goal start date?  </t>
  </si>
  <si>
    <t>Target completion date</t>
  </si>
  <si>
    <t xml:space="preserve">Who is responsible to ensure this Goal is carried out? Enter person's last name, not title.                   </t>
  </si>
  <si>
    <t xml:space="preserve">Briefly summarize your sustainability plan                       </t>
  </si>
  <si>
    <t>Are there workforce implications?
DROP DOWN</t>
  </si>
  <si>
    <t xml:space="preserve">Please add additional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</si>
  <si>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</si>
  <si>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</si>
  <si>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</si>
  <si>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</si>
  <si>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</si>
  <si>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</si>
  <si>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</si>
  <si>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</si>
  <si>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</si>
  <si>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</si>
  <si>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</si>
  <si>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</si>
  <si>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</si>
  <si>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</si>
  <si>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</si>
  <si>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</si>
  <si>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 xml:space="preserve">Strengthen population health capabilities to improve identification and care of high risk patients.
</t>
  </si>
  <si>
    <t>Regional</t>
  </si>
  <si>
    <t>Clinical Service Redesign</t>
  </si>
  <si>
    <t>1. Implement a nurse-led Annual Wellness Visit (AWV) model to expand preventive services capacity and improve timely access for Medicare beneficiaries.
2. Establish centralized panel management operations to support primary care practices with outreach, care-gap closure, and ongoing patient engagement.
3. Deploy a systemwide risk-stratification approach using clinical, utilization, and social-needs data to identify patients who may benefit from targeted interventions or enhanced care coordination.
4. Develop standardized workflows and protocols to ensure consistent delivery of proactive, population-based outreach across all primary care sites.
5. Expand centralized post-discharge follow-up outreach to patients to assess risk and schedule timely follow-up with PCP or specialist.
6. Integrate population health teams with primary care practices to support care coordination, chronic disease management, and navigation for high- and rising-risk patients.
7. Monitor performance and access metrics (e.g., AWV completion, panel cleanliness, outreach completion, care-gap closure, access indicators) and use real-time data to inform continuous improvement.
8. Equip care teams with training and tools to support population-based management, including care-gap dashboards, risk-stratification tools, and standardized scripts and workflows.
9. Develop and implement strategies for known care gap disparities (i.e., colon cancer screening in Medicaid members).
10. Implement proactive workflows to support access and affordability by leveraging site of service.</t>
  </si>
  <si>
    <t xml:space="preserve">UVM Health Medical Group, Population Health Services organization, Community Health Centers </t>
  </si>
  <si>
    <t>Internal alignment meetings and meetings with CHC</t>
  </si>
  <si>
    <t>Business Case</t>
  </si>
  <si>
    <t>UVM Health has experience providing population health services through contractual agreements with non‑UVM Health partners, and we are open to partnering in this way with independent primary care practices.</t>
  </si>
  <si>
    <t>Meet or exceed the system target in at least 60% (3 out of 5) of the HVC Quality Measures in UVMH Primary Care attributed population by 9/30/2026. 
Composite elements:
• Diabetes A1c Control (A1c&lt;9) (Target &lt;10%)
• Depression Screening &amp; Follow-up (Target 70%)
• Hypertension Blood Pressure Control (Target 75%)
• Colorectal Cancer Screening (Target 75%)
• Breast Cancer Screening (Target 82%)</t>
  </si>
  <si>
    <t xml:space="preserve">ongoing </t>
  </si>
  <si>
    <t>Moschella</t>
  </si>
  <si>
    <t>Sustainability plan will be developed in the next phase.</t>
  </si>
  <si>
    <t>Yes</t>
  </si>
  <si>
    <t>Expand coordinated team-based care and access to community‑based services within primary care.</t>
  </si>
  <si>
    <t xml:space="preserve">1.	Expand Integrated Care Management Team capacity for UVM Health primary care practices through additional funding to broaden access to community health services. 
2.	Extend existing care management and outreach workflows to more primary care practices to support preventive and chronic care needs. 
3.	Increase proactive patient engagement by enhancing ICMT capacity to use existing population health tools and data. 
4.	Strengthen collaboration between ICMT and primary care teams by reinforcing current communication and coordination practices. 
5.	Support overall sustainability and scalability of the standardized care management model to serve a larger patient population.
6. Implement an enhanced ICM team for highest risk, highest utilizers that would benefit from greater support.
7. Partner with AHS to establish e-referral system, building on the pilot between Epic and Vermont 21,1 to reduce administrative burden and improve patient referrals for HRSNs.
8. Expore partnering with independent practices to offer UVM Health population health services to partners in primay care. </t>
  </si>
  <si>
    <t>UVM Health Medical Group, Population Health Services organization, AHS</t>
  </si>
  <si>
    <t>Strong internal collaboration between UVM Health medical group, primary care, and the Blueprint</t>
  </si>
  <si>
    <t>--</t>
  </si>
  <si>
    <t>NA</t>
  </si>
  <si>
    <t>We would leverage any additional team‑based care Blueprint funding to better align resources with current staffing needs and sustain UVM Health's team‑based care services.</t>
  </si>
  <si>
    <t>Improve access to specialty care across the lifespan in partnership with hospitals in each HSA through a number of modalities.</t>
  </si>
  <si>
    <t>Statewide</t>
  </si>
  <si>
    <r>
      <rPr>
        <sz val="11"/>
        <color rgb="FF000000"/>
        <rFont val="Calibri"/>
        <family val="2"/>
      </rPr>
      <t xml:space="preserve">1.	Develop a model and process to determine the demand for specialty encounters in each HSA, by specialty.
2.	As part of this modeling, within each specialty, determine the appropriate encounter type or modality for the projected demand: on-site consultation (by leased physician or locally employed APP), remote consultation, diagnostic testing and interpretation, transfer, etc.
3.	Provide on-site specialty clinic visits supported either by hub-provided physicians or locally employed APPs trained by the hub.
4.	Provide telehealth outpatient encounters with patients located at the local organization and providers at the hub.
5.	Support teleconsultation for hospitalized patients in selected specialties to help patients avoid unnecessary transfers from their home HSA.
6.	Extend teleconsultation support to patients transferred back to their home HSA after acute treatment at a hub location.
7.	Support a region-wide partnership to coordinate specialty-specific interfacility transfer needs.
8.	Use on-site clinics and remote consultations to maintain continuity of care for patients who do require transfer.
9.	Enable remote interpretation of locally conducted diagnostic testing to keep more patients in their home HSA and improve study turnaround times.
10.	Provide hub-supported training for local diagnostic technicians as needed.
</t>
    </r>
    <r>
      <rPr>
        <sz val="11"/>
        <color rgb="FFFF0000"/>
        <rFont val="Calibri"/>
        <family val="2"/>
      </rPr>
      <t xml:space="preserve">
</t>
    </r>
    <r>
      <rPr>
        <sz val="11"/>
        <color rgb="FF000000"/>
        <rFont val="Calibri"/>
        <family val="2"/>
      </rPr>
      <t xml:space="preserve">
</t>
    </r>
    <r>
      <rPr>
        <sz val="11"/>
        <color rgb="FFFF0000"/>
        <rFont val="Calibri"/>
        <family val="2"/>
      </rPr>
      <t xml:space="preserve">
</t>
    </r>
  </si>
  <si>
    <t>UVM Health, AHS, partner hospitals, Medical Group.</t>
  </si>
  <si>
    <t>UVM Health, AHS, partner hospitals, Medical Group. Meetings with partner hospitals (BMH, North Country, Gifford, NRVH) and AHS.</t>
  </si>
  <si>
    <t>UVM Health would not require additional funding for this effort. We would work directly with individual hospitals to understand their needs, and providers would bill for services accordingly.</t>
  </si>
  <si>
    <t>Improve our provider recruitment performance by 10%.​</t>
  </si>
  <si>
    <t>Dillon</t>
  </si>
  <si>
    <t>Partner with designated agencies and other community partners to explore expanding access to timely, community‑based evaluation, stabilization, and coordinated connection to ongoing MH/SUD care.</t>
  </si>
  <si>
    <t xml:space="preserve">1.	Work with regional partners to define the scope of mental health urgent care, inventory current mental health/substance use disorder urgent care and crisis response capacity across northwest and central Vermont.
2.	Participate in a scoping process to identify gaps in hours, geography, staffing, and service types.
3.	Co-create a shared regional model for delivering mental health/substance use disorder urgent care.
</t>
  </si>
  <si>
    <t>Howard Center, Washington County Mental Health, Counseling Services of Addison County</t>
  </si>
  <si>
    <t xml:space="preserve">UVMMC is already working closely with Howard Center on mental health urgent care in Burlington. </t>
  </si>
  <si>
    <t>An expansion of services would require additional investment for both our designated agencies and for UVM Health as a potential partner. These costs would need to be fully scoped as part of a detailed business plan.</t>
  </si>
  <si>
    <t xml:space="preserve">Measurement methodology will be explored more deeply in the next phase of transformation plan development. </t>
  </si>
  <si>
    <t>Leahy</t>
  </si>
  <si>
    <t>Improve patient access in both primary and specialty care by increasing adoption of self‑service scheduling tools and ensuring appointment availability is fully utilized.</t>
  </si>
  <si>
    <t>Information Technology</t>
  </si>
  <si>
    <t xml:space="preserve">1.	Educate operational leaders on best practice workflows and system tools to improve utilization, maximize access, and support digital features such as Fast Pass and MyChart/Luma rescheduling.
2.	Adopt standardized provider templates, visit types and lengths, and change control processes to ensure optimal use and alignment with provider cFTE across specialties.
3.	Create consistent scheduling workflows across specialties to reduce variation and improve efficiency.
4.	Implement decision trees to guide staff through appropriate scheduling pathways.
5.	Enable cross site appointment options to expand access and improve patient convenience.
6.	Implement patient self scheduling through tools such as ticket scheduling and direct scheduling.
</t>
  </si>
  <si>
    <t xml:space="preserve">UVMH Medical Group, primary care practices, specialty care providers, UVM Heatlh Population Health Services Organization </t>
  </si>
  <si>
    <t>Strong internal collaboration between UVM Health medical group, primary care</t>
  </si>
  <si>
    <t xml:space="preserve">1. Schedule utilization (Epic metric)— defined as the percentage of time booked on a provider’s schedule.
Denominator: regular time available — the total time a provider is scheduled to be available.
Numerator: booked time as of 24 hours prior — includes late‑cancellation time.
2. Provider utilization (Epic metric) — retrospective, influenced by no‑shows and late cancellations.
3. Ease of scheduling your appointment (Press Ganey patient experience metric)
4. Patient experience surveys, specifically questions related to 1) ease of scheduling your appointment, and 2) ability to get an appointment at a time that met your needs
</t>
  </si>
  <si>
    <t>ongoing</t>
  </si>
  <si>
    <t>Godaire</t>
  </si>
  <si>
    <t>Establish a centralized statewide system to coordinate ICU and acute‑care beds and guide all interfacility transfers, ensuring safe, timely patient placement across hospitals, EMS, and community facilities.</t>
  </si>
  <si>
    <t>Transfers and Transport</t>
  </si>
  <si>
    <t xml:space="preserve">1. Oversee all ICU beds across the state to ensure optimal utilization and patient safety.
2. Expand the communication center to coordinate all EMS interfacility transports 24/7, building on its current orchestration of 8,900 annual transports; anticipate at least doubling case volume with ED transfers and other hospital outflows.
3. Track and inform acute care bed placement and coordinate all acute care beds statewide by implementing a unified resource platform such as Epic; note that statewide Epic availability would make this the first priority.
4. Extend coordination to skilled and non-acute facilities statewide using tools like CarePort or WellSky; develop a long-term plan that balances hospital and community needs while scaling CCS capabilities for acute, rehab, skilled, and mental health beds.
5.  Increase the percentage of eligible patients successfully transferred back to their referring facility or regional facility once specialized care needs have been met to ensure tertiary care capacity. </t>
  </si>
  <si>
    <t>UVM Health, AHS, EMS providers, partner hospitals.</t>
  </si>
  <si>
    <t>Meeting with partners throughout the state, including: NMC, Copley, Gifford, Rutland Regional, NVRH, North Country, as well as local, regional, and state EMS partners, and AHS.</t>
  </si>
  <si>
    <t>The development of a centralized statewide resource would require additional investment for UVM Health. These costs would need to be fully scoped as part of a detailed business plan.</t>
  </si>
  <si>
    <t>UVM Health will develop a comprehensive program evaluation if this effort is prioritized for action by AHS.</t>
  </si>
  <si>
    <t xml:space="preserve">Pacy </t>
  </si>
  <si>
    <t>Grow Mobile Integrated Health capacity to reduce CHF‑related readmissions to CVMC's Emergency Department.</t>
  </si>
  <si>
    <t>1. Identify CHF patients who are at a high-risk for readmission.
2. Work with Barre Town to provide Mobile Integated Health visits focused on medication reconciliation, symptom monitoring, and patient education.
3. Integrate with CVMC care management, primary care providers, cardiology, and palliative care teams for continuity of care.</t>
  </si>
  <si>
    <t>Barre Town EMS</t>
  </si>
  <si>
    <t>Established partnership with Barre Town EMS</t>
  </si>
  <si>
    <t>$150K for one year pilot</t>
  </si>
  <si>
    <t>CHF Readmissions at CVMC</t>
  </si>
  <si>
    <t>Greenberg</t>
  </si>
  <si>
    <t>Strengthen coordination between the hospital and community service providers to improve transitional care follow‑up in the Middlebury health service area.</t>
  </si>
  <si>
    <t xml:space="preserve">Regional </t>
  </si>
  <si>
    <t xml:space="preserve">1.	Establish care coordination agreement with community services providers, like Counseling Services of Addison County.
2.	Enhance communication between community service providers and medical providers in Epic.
3.	Improve referral pathways across EMS, hospitals, clinics, and community service providers.
</t>
  </si>
  <si>
    <t>Counseling Services of Addison County, Turning Point of Addison County, Porter Emergency Department, Porter Primary Care practices, John Graham Shelter</t>
  </si>
  <si>
    <t>Middlebury EMS</t>
  </si>
  <si>
    <t>Measurement methodology will be explored more fully in the next phase. Expanding and strengthening referrals is also a priority identified in the Porter Medical Center Community Health Improvement Plan, and it will be included as a measurement focus in the 2026 annual report.</t>
  </si>
  <si>
    <t>Havey/Seaton</t>
  </si>
  <si>
    <t>Expand the use of community‑based, mobile, and alternative sites of care in the Burlington health service area.</t>
  </si>
  <si>
    <t>1. Implement a HealthNet‑anchored strategy to guide systemwide community‑based care initiatives.
2. Develop and launch programs focused on:
      - Falls‑prevention initiatives for at‑risk populations
      - Mobile Integrated Health (MIH) services for heart‑failure and other high‑risk patients
      - Expand street medicine outreach within the Burlington health service area to better support unhoused individuals.
3. Assess community needs in Barre and Middlebury to determine feasibility and priority for program expansion.
4. Develop an expansion plan for Barre and Middlebury based on identified needs, resource availability, and partnership opportunities.</t>
  </si>
  <si>
    <t>local EMS</t>
  </si>
  <si>
    <t>Initial investment of $300K used for IT equipment, desks, etc.</t>
  </si>
  <si>
    <t>Pilot mobile health program to reduce heart failure readmissions.</t>
  </si>
  <si>
    <t>Siket</t>
  </si>
  <si>
    <t>Partner to build a shared digital infrastructure that streamlines referrals, expands access to remote specialty consultation, and enables seamless exchange of clinical information across organizations.</t>
  </si>
  <si>
    <t xml:space="preserve">1.	Develop a common platform or interface to support Enhanced Referrals and detailed referral order workflows that include supporting diagnostic data to speed patient connection to the right provider, clinic, or next test.
2.	Implement eConsults for outpatient/clinic patients, with patients located at their local HSA facility and specialists providing care remotely and asynchronously.
3.	Implement eConsults for hospitalized patients and local inpatient clinical teams, supported by remote specialists asynchronously.
4.	Engage resources to create full access to a functional EpicCare Link workflow for statewide use.
5.	Improve transparency of information flow between physicians through EpicCare Link.
6.	Enable external physicians to place referrals and orders more easily through the platform.
7.	Connect clinicians with specialists using eConsults, enhanced referrals, and e-visits to expand access to specialty care.
8.	Support electronic release of information to indepdent primary care practices, federally qualified health centers, etc.
9.	Facilitate exchange of clinical information—such as diagnostic studies, digital images, and progress notes—across organizations.
</t>
  </si>
  <si>
    <t>Epic, interested hospitals, independent primary care practices, FQHCs, Bi-State, VAHHS, VMS</t>
  </si>
  <si>
    <t>Year 1:
Fully enable all EpicCare Link functionality:  2 FTEs/6mos (2*($150/hr * 1040) = $312K
Deploy virtual care technology into every acute care room, OR and 1-2 ambulatory practice exam rooms across the state/region.  Estimate 1442 units (1-time cost $2500/per)  $3.6M
Annual OpEx:  
$3.2M</t>
  </si>
  <si>
    <t>Measurement methodology will be explored more deeply in the next phase.</t>
  </si>
  <si>
    <t>ongoing, multi-year</t>
  </si>
  <si>
    <t>Dillon/Boisjoli/Godaire</t>
  </si>
  <si>
    <t xml:space="preserve">Grow and sustain Vermont's EMS workforce via the UVM Health EMS Training Center and Paramedic Program. </t>
  </si>
  <si>
    <t xml:space="preserve">1. Continue offering a range of financial supports and options to students through the existing UVM Health Paramedic Program, including leveraging available grant funds, scholarships, and connecting students with lenders.
2. Incorporate “full funding/no tuition” and "partial funding" models/mechanisms for Vermont program participants as part of an expanded conditional financial assistance program.
3. Leverage UVM Health’s employment of paramedics in multiple care settings to strengthen workforce development pipeline efforts.
4. Use this approach to support career advancement and employee retention while aligning with AHS’ stated goals around the in-state service obligation model.
5. Administer the conditional financial assistance program through the Paramedic Program administration.
6. Transfer post-graduation tracking of compliance with the service obligation to either the appropriate UVM Health department (for internally employed graduates) or the student’s primary affiliated EMS agency.
7. Evaluate payment reform options for EMS to promote sustainability and workforce retention. </t>
  </si>
  <si>
    <t>UVM Health clinical departments/teams that use paramedics; UVM Health's Workforce Development program; VT EMS agencies; VT Technical High Schools/Career Centers</t>
  </si>
  <si>
    <t xml:space="preserve">As of 2026, we are launching a second VT-based site for our Paramedic Program at the Central VT Career Center, which will facilitate a future pipeline/pathway for engaging high school students in a career track to paramedicine.  </t>
  </si>
  <si>
    <t>Student course enrollments, student course completions, graduate job placements.  See also here:  https://www.uvmhealth.org/medical-education-training/paramedic-education-program/about-our-program</t>
  </si>
  <si>
    <t>New Cohort of 18 VT-based students begins 1/15/26 and ends Jan 2027.  The subsequent next Paramedic cohort enrolls inDec. 2026.</t>
  </si>
  <si>
    <t>ongoing/open ended program</t>
  </si>
  <si>
    <t>Leyden</t>
  </si>
  <si>
    <t xml:space="preserve">The EMS Training Center and Paramedic Program operate based on a mix of grant funds and traditional student tuition.  Growth of the program, by regional coverage and participant volumes, is predicated on the removal of cost as a barrier to student entry.  </t>
  </si>
  <si>
    <t>Partner statewide to establish a formal health care workforce employer collaborative that leverages shared resources and best practices to develop innovative nursing and technical education models.</t>
  </si>
  <si>
    <t xml:space="preserve">1.	Establish a statewide health care workforce employer collaborative by securing funding, defining governance, and aligning on a shared mission.
2.	Hire dedicated staff to manage and operate the collaborative. Leverage existing groundwork laid by Mary Anne Sheahan and 2025 employer WFD summit in Rutland. 
3.	Compile a diverse board and committees comprised of leaders and stakeholders from multiple health care  systems and employers.
4.	Develop resources to convene employers for feedback and goal-setting, including conferences, working groups, and shared planning forums.
5.	Engage all 54 Vermont health care  employers and maintain active participation.
6.	Conduct assessments on critical talent and education shortage areas, including Nursing, Radiology, Respiratory Therapy, Laboratory Science, and Surgical Technology.
7.	Engage and solicit proposals from colleges and educational partners that offer flexible, affordable, and accessible programs aligned with collaborative goals.
8.	Pilot programs by marketing, recruiting, and enrolling students, ensuring agreed-upon cohort sizes for each employer.
9.	Create shared training spaces, including classrooms, skills labs, telepresence capabilities, and shared clinical instruction staff.
10.	Provide grant sub-awards to collaborative employer partners for tuition, books, fees, clinical instruction, and/or study stipends.
11.	Establish data collection and reporting systems to measure program outcomes, workforce impact, and return on investment.
12.	Create a long-term sustainability plan to maintain the collaborative statewide through grant funding, employer cost-sharing, state dollars, and affiliation with larger funding collaboratives (e.g., National Fund for Workforce Solutions).
</t>
  </si>
  <si>
    <t xml:space="preserve">Stakeholders Include:
- Mary Anne Sheahan
- VT Health care System Leaders
- VT Health care System SMEs (nursing, respiratory, etc.)
- UVMH Leaders/SMEs
- Select Colleges/Educators
- UVMH Workforce Development
- UVMH Depts (Legal, Grants, Payroll, IT, etc) to Establish/Support Entity
</t>
  </si>
  <si>
    <t xml:space="preserve">2022: Vermont Business Roundtable  and Mary Anne Sheahan launched a health care  workforce collaborative with federal funding.
- Initial focus: Build a scalable nursing apprenticeship model.
- Recent progress: Convened 100+ health care  workforce leaders for an inaugural statewide summit.
- Outcomes: Identified shared talent gaps and opportunities for new academic partners.
Since 2024, conversations have been occuring between leaders at VT WFD Board, AHEC, VT POC, VBR, AHS WFD DIrector, VDOL, Vermont Futures Project, UVMH on creating a statewide employer workforce collaborative, and exploring funding collaborative formation (e.g., National Fund).
</t>
  </si>
  <si>
    <r>
      <rPr>
        <sz val="11"/>
        <color theme="1"/>
        <rFont val="Calibri"/>
        <family val="2"/>
      </rPr>
      <t xml:space="preserve">Establishing the statewide health care collaborative is estimated at </t>
    </r>
    <r>
      <rPr>
        <b/>
        <sz val="11"/>
        <color theme="1"/>
        <rFont val="Calibri"/>
        <family val="2"/>
      </rPr>
      <t xml:space="preserve">$1.8M–$2.3M. 
</t>
    </r>
    <r>
      <rPr>
        <sz val="11"/>
        <color theme="1"/>
        <rFont val="Calibri"/>
        <family val="2"/>
      </rPr>
      <t>Newly developed education programs could range from</t>
    </r>
    <r>
      <rPr>
        <b/>
        <sz val="11"/>
        <color theme="1"/>
        <rFont val="Calibri"/>
        <family val="2"/>
      </rPr>
      <t xml:space="preserve"> $5M–$25M,</t>
    </r>
    <r>
      <rPr>
        <sz val="11"/>
        <color theme="1"/>
        <rFont val="Calibri"/>
        <family val="2"/>
      </rPr>
      <t xml:space="preserve"> depending on specialty, level of tuition support, number of learners, and related factors.</t>
    </r>
  </si>
  <si>
    <t>The health care collaborative will:
- Leverage economies of scale to create, scale, and sustain workforce development programs. 
- Greatly reduce duplication of efforts by reducing the creation of disparate programs that are not sustainable in the long term. 
- Pilot new educational programs that are affordable, inaccessible, and decrease cost expenditures on tuition. 
- Create skilled talent from our population to reduce costly expenditures on a contingent workforce (travelers).</t>
  </si>
  <si>
    <t>Baake</t>
  </si>
  <si>
    <t xml:space="preserve">Sustainability plan will be developed in the next phase.
</t>
  </si>
  <si>
    <t xml:space="preserve">This initiative is designed with a flexible, scalable model. Program size, participant capacity, and the breadth of offerings can be expanded or contracted based on available funding and identified workforce needs.
</t>
  </si>
  <si>
    <t>Advance the development of a statewide simulation and training partnership that includes a central simulation lab, regional simulation sites, a mobile unit, and shared training resources to expand specialty clinical education capacity, extend internal training programs to Vermont hospitals and providers, and strengthen workforce readiness.</t>
  </si>
  <si>
    <t xml:space="preserve">1.	Conduct a comprehensive needs assessment of specialty clinical rotation capacity, including data on students turned away, delayed, spending significant portions of clinical time shadowing, or seeking out-of-state placements.
2.	Convene a collaborative advisory group to guide program design, employer participation, and statewide alignment. Explore with state and regulatory officials to form a statewide simulation committee to guide and oversee simulation regulation for health care  and academia. 
3.	Identify and repurpose unused space and retrofit a retired ambulance to create state-of-the-art simulation and training centers and mobile units, reducing reliance on specialty areas only offered at academic or tertiary care centers.
4.	Leverage simulation as an approved substitute for clinical instruction to increase capacity and prevent turning students away due to limited placement opportunities statewide and continue to attract students to pursue specialty career areas.
5.	Design spaces to support new training programs previously unavailable in the region, enabling education in high-demand fields.
6.	Purchase and install high-fidelity simulation equipment, furnishings, fixtures, and software licenses to replicate real-world clinical environments.
7.	Acquire training equipment, IT infrastructure, and workstations to support program delivery, scalability, and remote connectivity for instructors and learners.
8.	Hire or designate certified simulation staff and subject matter experts to manage operations, deliver training, and maintain quality standards.
9.	Pursue accreditation for the simulation lab(s) to ensure compliance with national standards and enhance credibility.
10.	Establish shared governance and sustainability plans, including future funding strategies and continuous improvement processes for long-term viability.
11.	Expand existing and create new workforce training and education programs (e.g., Nurse Aide, Phlebotomy, Radiology, Surgical Technologist, Sterile Processing, Rural health care  Leadership) statewide through in-person and virtual delivery, including support for onsite clinical skill leads and integration of virtual testing where allowable.
12.	Implement a statewide clinical placement and tracking platform to improve visibility, coordination, and equitable distribution of clinical rotations across Vermont.
</t>
  </si>
  <si>
    <t xml:space="preserve">Stakeholders Include:
- UVMH Educators/Clinical Instructors in specialty areas
- Nursing Leadership
- UVMH Workforce Development leadership
- VT Colleges (UVM, Norwich, VTSU, etc.)
- Apprenticeship Intermediary (JobForward)
- UVMH Trainign Program Leaders (LNA, etc.)
- VT health care  System Leaders
- VT health care  System SMEs (nursing, respiratory, etc.)
- State Board of Nursing (for possible state committee formation)
- UVMH Workforce Development
- UVMH IT/Facilities/Real Estate
</t>
  </si>
  <si>
    <t xml:space="preserve">Colleges and universities have been made aware we are currently at capacity for specialty clinical rotations and may/will need to turn students away. 
- All efforts are being made to accomdate clinical students off hours, weekends, in a flexible formats, and in creative ways. 
- Simulation is also being used where available but offerings are limited across the state. </t>
  </si>
  <si>
    <r>
      <rPr>
        <sz val="11"/>
        <color rgb="FF000000"/>
        <rFont val="Calibri"/>
        <family val="2"/>
      </rPr>
      <t xml:space="preserve">Establishing collaborative simulation and training units/services is estimated at </t>
    </r>
    <r>
      <rPr>
        <b/>
        <sz val="11"/>
        <color rgb="FF000000"/>
        <rFont val="Calibri"/>
        <family val="2"/>
      </rPr>
      <t>$5M - $14.5M</t>
    </r>
    <r>
      <rPr>
        <sz val="11"/>
        <color rgb="FF000000"/>
        <rFont val="Calibri"/>
        <family val="2"/>
      </rPr>
      <t xml:space="preserve"> depending on size, scope, number of students served, and number of programs offered </t>
    </r>
  </si>
  <si>
    <t>The simulation and training labs will:
- Decrease clinical students being turned away for speciality clinical rotations, allowing more students to enter into and complete local educational programs.
- Prevent more students in getting substandard clinical experiences or needing to go out-of-state for speciality clinical rotations.  
- Provide higher‑quality clinical instruction to more students to ensure stronger knowledge, skillsets, and overall quality of care.
- Extend clinical instruction opportunities only offered within an academic medical/tertiary care center.  
- Create and scale education programs and apprenticeships that all health care  employers can access.
- Reduce duplication of efforts by reducing the creation of disparate programs that are not sustainable in the long term. 
- Pilot new educational programs that are affordable and decrease cost expenditures on tuition. 
- Create skilled talent from our population to reduce costly expenditures on a contigent workforce (travelers).</t>
  </si>
  <si>
    <t>This initiative is designed with a flexible, scalable model. Program size, participant capacity, and the breadth of offerings can be expanded or contracted based on available funding and identified workforce needs.</t>
  </si>
  <si>
    <t xml:space="preserve">Support implemention of a statewide unified EMR (Epic) across all Vermont hospitals.
</t>
  </si>
  <si>
    <t xml:space="preserve">1. Designate an internal lead to engage with AHS and partners.
2. Collaborate with AHS to identify and invite key stakeholders to form a coalition of hospitals and practices interested in moving to a unified EMR. Provide input on guiding principles and governance structure. Offer Epic-specific insights during coalition charter development, including pros and cons of different operational and technical architectures.  
3. As requested, serve as a subject matter expert to AHS to help draft RFP requirements for a vendor engagement focused on scoping what it will take to expand Epic access statewide. The vendor will assess options such as extending UVM Health’s Epic instance or leveraging Epic through another model. Participate in vendor interviews and selection as invited, and ensure the scope includes technical architecture, migration pathways, and comprehensive cost modeling.  
4. Provide documentation and lessons learned from UVM Health’s Epic implementation. Advise on governance, workflow standardization and interoperability considerations to all models considered.
5. Collaborate with vendor to validate cost assumptions and operational impacts. Model scenarios for extending Epic to additional hospitals and practices. 
6. Provide recommendations for a decision-ready roadmap with vendor and AHS. Ensure roadmap includes governance, phased implementation, and investment strategy. Present roadmap to coalition and leadership for endorsement.
7. During build and implementation phase, provide expert content knowledge and partnership to ensure optimal architecture, go-live support and post go-live stability.
8. Partner to create a seamless Epic user experience for both patients and providers. </t>
  </si>
  <si>
    <t>UVM Health has participated in multiple conversations with AHS to provide feedback and guidance on leveraging Epic, either through our instance or another model, for other institutions. In addition, UVM Health has served in an advisory capacity for organizations such as Community Health Centers of Burlington and North Country by helping to scope the financial and operational considerations involved in transitioning to Epic, providing a site visit to see Epic in full operation and by participating in shared conversations with the vendor partner selected.</t>
  </si>
  <si>
    <t>TBD</t>
  </si>
  <si>
    <t>Vendor quote</t>
  </si>
  <si>
    <t>Recommendation is for AHS to engage with  an external vendor in partnership with UVM Health and interested parties to build a financial estimate for a unified Epic EMR total cost of ownership and return on investment. 
Year 1:  
External Vendor: Connect Model and Readiness ($200/hr * 1100 = $220K) 
External Vendor:  Infrastructure Gap Analysis ($150/hr *520) = $78K)
Using Wave 2 (CVMC and PMC) and Wave 3 (ECH, CVPH, AHMS) actuals for a range: 
-  Capital:  $7.1M - $41M
-  Operating:  $12.2M - $32M</t>
  </si>
  <si>
    <r>
      <rPr>
        <b/>
        <sz val="11"/>
        <color rgb="FF000000"/>
        <rFont val="Calibri"/>
        <family val="2"/>
      </rPr>
      <t xml:space="preserve">Internal Readiness - </t>
    </r>
    <r>
      <rPr>
        <sz val="11"/>
        <color rgb="FF000000"/>
        <rFont val="Calibri"/>
        <family val="2"/>
      </rPr>
      <t xml:space="preserve">Project lead designated and active in Q1.
</t>
    </r>
    <r>
      <rPr>
        <b/>
        <sz val="11"/>
        <color rgb="FF000000"/>
        <rFont val="Calibri"/>
        <family val="2"/>
      </rPr>
      <t xml:space="preserve">Coalition Contribution - </t>
    </r>
    <r>
      <rPr>
        <sz val="11"/>
        <color rgb="FF000000"/>
        <rFont val="Calibri"/>
        <family val="2"/>
      </rPr>
      <t xml:space="preserve">Participate in coalition meetings as invited; provide input on guiding principles and governance; share Epic insights during charter discussions. Engage Epic Systems as needed.
</t>
    </r>
    <r>
      <rPr>
        <b/>
        <sz val="11"/>
        <color rgb="FF000000"/>
        <rFont val="Calibri"/>
        <family val="2"/>
      </rPr>
      <t xml:space="preserve">Vendor Engagement Support - </t>
    </r>
    <r>
      <rPr>
        <sz val="11"/>
        <color rgb="FF000000"/>
        <rFont val="Calibri"/>
        <family val="2"/>
      </rPr>
      <t xml:space="preserve">Offer input on RFP requirements and vendor scope; join interviews if requested; confirm scope includes architecture, migration, and cost modeling.
</t>
    </r>
    <r>
      <rPr>
        <b/>
        <sz val="11"/>
        <color rgb="FF000000"/>
        <rFont val="Calibri"/>
        <family val="2"/>
      </rPr>
      <t xml:space="preserve">Knowledge Sharing - </t>
    </r>
    <r>
      <rPr>
        <sz val="11"/>
        <color rgb="FF000000"/>
        <rFont val="Calibri"/>
        <family val="2"/>
      </rPr>
      <t xml:space="preserve">Deliver Epic lessons learned document; host at least one technical briefing or Q&amp;A.
</t>
    </r>
    <r>
      <rPr>
        <b/>
        <sz val="11"/>
        <color rgb="FF000000"/>
        <rFont val="Calibri"/>
        <family val="2"/>
      </rPr>
      <t xml:space="preserve">Financial &amp; Operational Input - </t>
    </r>
    <r>
      <rPr>
        <sz val="11"/>
        <color rgb="FF000000"/>
        <rFont val="Calibri"/>
        <family val="2"/>
      </rPr>
      <t xml:space="preserve">Review vendor assumptions and provide feedback on cost and operational impacts.
</t>
    </r>
    <r>
      <rPr>
        <b/>
        <sz val="11"/>
        <color rgb="FF000000"/>
        <rFont val="Calibri"/>
        <family val="2"/>
      </rPr>
      <t xml:space="preserve">Roadmap Contribution - </t>
    </r>
    <r>
      <rPr>
        <sz val="11"/>
        <color rgb="FF000000"/>
        <rFont val="Calibri"/>
        <family val="2"/>
      </rPr>
      <t>Submit recommendations for roadmap; participate in review and endorsement discussions as requested.</t>
    </r>
  </si>
  <si>
    <t xml:space="preserve">This would be a multiyear project and completion date depends on the number of partner hospitals that would like to adopt a unified EMR. </t>
  </si>
  <si>
    <t>Boisjoli</t>
  </si>
  <si>
    <t>If Vermont moves forward with a unified EMR, long-term sustainability will require a shared governance model, cost-sharing framework, and operational support structure. These elements will be explored in later phases once statewide interest and feasibility are confirmed.</t>
  </si>
  <si>
    <t>Achieve full EHR standardization across all four skilled nursing centers within 24 months, and establish interoperability with UVM Health Network’s EPIC platform by year three to enable seamless care coordination, data exchange, and system-wide analytics.</t>
  </si>
  <si>
    <t>1. Partner with IT to establish governance and project oversight structure.
2. Select and approve a standardized EHR platform.
3. Develop technical roadmap for migration and EPIC integration.
4. Secure funding and finalize vendor contracts.
5.Plan and execute data migration strategy.
6. Train staff across all centers on the new EHR.
7. Pilot implementation at one center and refine workflows.
8. Roll out EHR to remaining centers in phases.
9. Enable EPIC interoperability.
10. Monitor adoption, optimize workflows, and ensure compliance.</t>
  </si>
  <si>
    <t>SNFs, UVM Health IT, UVM Health Revenue Cycle</t>
  </si>
  <si>
    <t>This is an ongoing topic of conversation with SNFs and Continuing Care leadership. This is a well-known need and a priority activity with strong buy in.</t>
  </si>
  <si>
    <t xml:space="preserve"> % of centers live on unified EHR
 EPIC integration live by Year 3; % of transitions documented electronically
 Error rate in migrated records (&lt;1%)
 95% staff trained and actively using system within 3 months of go-live
 ≥30% reduction in duplicate documentation; ≥20% faster admission documentation
 Increase in closed-loop referrals and shared care plans with UVMH
100% adherence to HIPAA and cybersecurity standards</t>
  </si>
  <si>
    <t>Werneke</t>
  </si>
  <si>
    <t>Launch and operationalize one medical respite site serving high-need Vermonters that measurably reduces ED revisits and all-cause readmissions while improving quality of life, transitions to ongoing care and housing.</t>
  </si>
  <si>
    <t>1. Select and secure one site for medical respite (location, lease, facility readiness).
2. Develop clinical protocols for admission, discharge, medication management, wound care, and MH/SUD screening.
3. Connect technology infrastructure (telehealth, e-Consult, closed-loop referral system, VHIE integration).
4. Hire and train staff (program coordinator, case manager, resource coordinators, etc).
5. Complete minor renovations and equipment purchases for infection control, accessibility, and clinical functionality.
6. Formalize housing and social care partnerships (MOUs with partners, housing, transportation vendors).
7. Embed home health and PCP follow-up (auto-schedule visits, remote patient monitoring for step-down care).
8. Implement financing and documentation workflows (billing, grant reporting, sustainability planning).
9. Evaluate outcomes and equity (ED use, readmissions, follow-up rates, housing connections).
10. Develop roadmap for replication (document lessons learned, create playbook for future hubs).</t>
  </si>
  <si>
    <t>Housing Partners, Housing/homeless service providers, AHS, municipality where facility is located, EMS/Community Medicine, Designated Agencies</t>
  </si>
  <si>
    <t xml:space="preserve">AHS is well-versed in our existing Medical Respite pilot as this was initially funded through ARPA HCBS Innovation grants. HHH remains actively engaged with AHS to explore expansion and sustainability for this programming. </t>
  </si>
  <si>
    <t xml:space="preserve">$5-8 million (largely capital and one-time expenses). Working to dial in budget currently. </t>
  </si>
  <si>
    <t>Preliminary converations with UVMH facilities.</t>
  </si>
  <si>
    <t>Medical respite programs prevent individuals experiencing homelessness from unnecessary ED use/hospitalizations.</t>
  </si>
  <si>
    <t>Average length of stay in respite.
Percent of patients with successful PCP follow-up within 7–14 days of discharge.
Percent of patients connected to housing or recovery supports at discharge.
Reduction in ED visits per patient within 30 days post-respite.
Patient-reported outcomes (symptom control, satisfaction, perceived safety).</t>
  </si>
  <si>
    <t xml:space="preserve">CMS granted Vermont Medicaid authority to use Medicaid funding to pay for up to 6 months of medical respite for eligible beneficiaries. We plan to align our program with what is outlined in Vermont's Medicaid 1115 Waiver to ensure we can leverage those funds to support sustainability. </t>
  </si>
  <si>
    <t>Expand Vermont’s home health and hospice capacity by 50% over the next three years through strategic investments in workforce, technology, and care delivery models, while strengthening integration with primary care and community-based services to ensure equitable access and long-term sustainability of the rural health care continuum.</t>
  </si>
  <si>
    <t>1. Conduct capacity gap analysis and define baseline metrics.
2. Develop phased expansion plan for staffing, technology, and service areas.
3. Recruit and train workforce using RHTP workforce development funds.
4. Increase use of telehealth and RPM for chronic disease monitoring.
5. Leverage recent Epic Implementation at HHH and integrate closed-loop referral system for seamless coordination.
6. Establish mobile outreach capability for rural and high-need areas.
7. Create partnerships with hospitals and FQHCs for streamlined referrals.
8. Embed palliative care consults into home health workflows.
9. Monitor key metrics: admissions, timeliness, readmissions, patient satisfaction.
10.Develop sustainability plan leveraging value-based payment models.</t>
  </si>
  <si>
    <t>Internal to HHH, workforce development</t>
  </si>
  <si>
    <t>Increased capacity for care delivery in home settings means decreased utilization of higher, more costly levels of care.</t>
  </si>
  <si>
    <t>Admissions growth: baseline vs. target (50% increase).
Start-of-care timeliness: % within 48 hours (home health) and 24 hours (hospice).
Reduction in avoidable hospitalizations/readmissions.
RPM utilization and outcomes (BP control, CHF weight monitoring).
Patient and caregiver satisfaction scores.</t>
  </si>
  <si>
    <t>Improve access to high-acuity services for long-term care residents by establishing on-site dialysis capability and adding a second ventilator unit within Vermont’s skilled nursing network by 2028, reducing hospital transfers and supporting continuity of care for medically complex patients.</t>
  </si>
  <si>
    <t xml:space="preserve">1. Assess current capacity and identify SNFs for dialysis and ventilator expansion.
2. Develop business plan for on-site or mobile dialysis units.
3. Secure funding and vendor contracts for dialysis and ventilator equipment.
4. Upgrade facility infrastructure for installation and compliance.
5. Train staff on dialysis and ventilator care protocols.
6. Implement dialysis service at selected SNF and validate workflows.
7. Install second ventilator unit and integrate into clinical operations.
8. Establish referral pathways with hospitals for high-acuity patients.
9. Launch pilot and monitor utilization and outcomes.
10. Collect patient and cost data to evaluate impact on hospital transfers.
</t>
  </si>
  <si>
    <t>UVMH, SNFs</t>
  </si>
  <si>
    <t>This would be part of the initial exploration.</t>
  </si>
  <si>
    <t>Number of SNFs offering on-site dialysis
Second ventilator unit installed and operational
# of patients receiving dialysis or ventilator support in SNFs (baseline vs. post-implementation)
Reduction in transfers for dialysis or ventilator needs
Average wait time for dialysis initiation in SNF 
% of trained staff certified for dialysis/ventilator care 
Stability indicators (e.g., fewer missed treatments, improved continuity of care)
Estimated savings from avoided hospitalizations</t>
  </si>
  <si>
    <t>UVM Health will sustain and expand its commitment to expense reduction and cost containment, building on two years of demonstrated progress.</t>
  </si>
  <si>
    <t>Other</t>
  </si>
  <si>
    <t>Increased recruitment and retention to reduce contract labor utilization (FY23–FY25) - $30M
Administrative shared‑service cost reductions as a percentage of total cost (FY23–FY25) - $32M
Supply chain cost reductions (FY24–FY25) - $40M
System drug formulary cost savings (FY24–FY25) - $10M
Health plan reductions, including plan design changes and administrative cost reductions (FY25) - $10M
Leadership efficiencies (FY25) - $15M
Space consolidations to reduce facility‑related expenses (FY24–FY25) - $2M
Reduction in length of stay at UVMMC, CVMC, and PMC (FY23–FY25) - $30M
Collaborate with other health care providers to shift care to lower‑cost sites of service (FY24–FY25) - $15M
Total expense reduction (FY23-FY25): $184M</t>
  </si>
  <si>
    <t>Leffler</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</si>
  <si>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</si>
  <si>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</si>
  <si>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</si>
  <si>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</si>
  <si>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</si>
  <si>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</si>
  <si>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</si>
  <si>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</si>
  <si>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</si>
  <si>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rgb="FF215C98"/>
        <rFont val="Aptos Narrow"/>
        <family val="2"/>
        <scheme val="minor"/>
      </rPr>
      <t>Example</t>
    </r>
    <r>
      <rPr>
        <sz val="11"/>
        <color rgb="FF215C98"/>
        <rFont val="Aptos Narrow"/>
        <family val="2"/>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</si>
  <si>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</si>
  <si>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</si>
  <si>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</si>
  <si>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</si>
  <si>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</si>
  <si>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</si>
  <si>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</si>
  <si>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</si>
  <si>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</si>
  <si>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Expand workforce pipeline development programs</t>
  </si>
  <si>
    <t>Risk 3</t>
  </si>
  <si>
    <t>Comprehensive risk‑mitigation measures and communications strategies will be developed in close partnership with AHS as the plan moves forward.</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</si>
  <si>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</si>
  <si>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</si>
  <si>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</si>
  <si>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</si>
  <si>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</si>
  <si>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</si>
  <si>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</si>
  <si>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</si>
  <si>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</si>
  <si>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Comm 1</t>
  </si>
  <si>
    <t xml:space="preserve"> </t>
  </si>
  <si>
    <t>The communication tab tracks all regular project interactions to ensure consistent, transparent engagement with key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</si>
</sst>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_(&quot;$&quot;* #,##0_);_(&quot;$&quot;* \(#,##0\);_(&quot;$&quot;* &quot;-&quot;??_);_(@_)"/>
    <numFmt numFmtId="165" formatCode="_([$$-409]* #,##0.00_);_([$$-409]* \(#,##0.00\);_([$$-409]* &quot;-&quot;??_);_(@_)"/>
    <numFmt numFmtId="166" formatCode="&quot;$&quot;#,##0.00"/>
  </numFmts>
  <fonts count="33">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
      <b/>
      <sz val="11"/>
      <color theme="1"/>
      <name val="Aptos Narrow"/>
      <family val="2"/>
      <scheme val="minor"/>
    </font>
    <font>
      <sz val="11"/>
      <color theme="3" tint="0.249977111117893"/>
      <name val="Aptos Narrow"/>
      <family val="2"/>
      <scheme val="minor"/>
    </font>
    <font>
      <b/>
      <sz val="11"/>
      <name val="Aptos"/>
      <family val="2"/>
    </font>
    <font>
      <sz val="11"/>
      <name val="Aptos"/>
      <family val="2"/>
    </font>
    <font>
      <sz val="11"/>
      <name val="Arial"/>
      <family val="2"/>
    </font>
    <font>
      <b/>
      <sz val="12"/>
      <color theme="1"/>
      <name val="Aptos Narrow"/>
      <family val="2"/>
      <scheme val="minor"/>
    </font>
    <font>
      <u/>
      <sz val="11"/>
      <color rgb="FF215C98"/>
      <name val="Aptos Narrow"/>
      <family val="2"/>
      <scheme val="minor"/>
    </font>
    <font>
      <sz val="11"/>
      <color rgb="FF215C98"/>
      <name val="Aptos Narrow"/>
      <family val="2"/>
      <scheme val="minor"/>
    </font>
    <font>
      <b/>
      <sz val="11"/>
      <color rgb="FF000000"/>
      <name val="Calibri"/>
      <family val="2"/>
    </font>
    <font>
      <b/>
      <sz val="11"/>
      <color theme="0"/>
      <name val="Calibri"/>
      <family val="2"/>
    </font>
    <font>
      <b/>
      <sz val="11"/>
      <color theme="1"/>
      <name val="Calibri"/>
      <family val="2"/>
    </font>
    <font>
      <sz val="11"/>
      <color theme="1"/>
      <name val="Calibri"/>
      <family val="2"/>
    </font>
    <font>
      <sz val="11"/>
      <color rgb="FF000000"/>
      <name val="Calibri"/>
      <family val="2"/>
    </font>
    <font>
      <sz val="11"/>
      <color rgb="FFFF0000"/>
      <name val="Calibri"/>
      <family val="2"/>
    </font>
    <font>
      <sz val="11"/>
      <color rgb="FF0E2841"/>
      <name val="Calibri"/>
      <family val="2"/>
    </font>
    <font>
      <b/>
      <sz val="11"/>
      <name val="Calibri"/>
      <family val="2"/>
    </font>
    <font>
      <sz val="11"/>
      <name val="Calibri"/>
      <family val="2"/>
    </font>
    <font>
      <sz val="12"/>
      <color theme="1"/>
      <name val="Calibri"/>
      <family val="2"/>
    </font>
    <font>
      <b/>
      <sz val="12"/>
      <color theme="1"/>
      <name val="Calibri"/>
      <family val="2"/>
    </font>
    <font>
      <sz val="12"/>
      <color rgb="FF000000"/>
      <name val="Calibri"/>
      <family val="2"/>
    </font>
    <font>
      <b/>
      <sz val="12"/>
      <color rgb="FF000000"/>
      <name val="Calibri"/>
      <family val="2"/>
    </font>
    <font>
      <b/>
      <sz val="12"/>
      <color rgb="FF000000"/>
      <name val="Aptos Narrow"/>
      <family val="2"/>
    </font>
    <font>
      <b/>
      <sz val="14"/>
      <color theme="1"/>
      <name val="Aptos Narrow"/>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44" fontId="1" fillId="0" borderId="0" applyFont="0" applyFill="0" applyBorder="0" applyAlignment="0" applyProtection="0"/>
  </cellStyleXfs>
  <cellXfs count="108">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3" xfId="0" applyFont="1" applyFill="1" applyBorder="1" applyAlignment="1">
      <alignment horizontal="left" vertical="top"/>
    </xf>
    <xf numFmtId="0" fontId="5" fillId="0" borderId="0" xfId="0" applyFont="1" applyAlignment="1">
      <alignment vertical="top"/>
    </xf>
    <xf numFmtId="0" fontId="11" fillId="0" borderId="3" xfId="0" applyFont="1" applyBorder="1" applyAlignment="1">
      <alignment horizontal="left" vertical="top" wrapText="1"/>
    </xf>
    <xf numFmtId="0" fontId="11" fillId="0" borderId="1" xfId="0" applyFont="1" applyBorder="1" applyAlignment="1">
      <alignment horizontal="left" vertical="top" wrapText="1"/>
    </xf>
    <xf numFmtId="0" fontId="11" fillId="0" borderId="4" xfId="0" applyFont="1" applyBorder="1" applyAlignment="1" applyProtection="1">
      <alignment horizontal="left" vertical="top" wrapText="1"/>
      <protection locked="0"/>
    </xf>
    <xf numFmtId="165" fontId="11" fillId="0" borderId="5" xfId="0" applyNumberFormat="1" applyFont="1" applyBorder="1" applyAlignment="1">
      <alignment horizontal="left" vertical="top"/>
    </xf>
    <xf numFmtId="165" fontId="11" fillId="0" borderId="3" xfId="0" applyNumberFormat="1" applyFont="1" applyBorder="1" applyAlignment="1">
      <alignment horizontal="left" vertical="top"/>
    </xf>
    <xf numFmtId="4" fontId="11" fillId="0" borderId="1" xfId="0" applyNumberFormat="1" applyFont="1" applyBorder="1" applyAlignment="1" applyProtection="1">
      <alignment horizontal="left" vertical="top"/>
      <protection locked="0"/>
    </xf>
    <xf numFmtId="0" fontId="9" fillId="0" borderId="0" xfId="0" applyFont="1" applyAlignment="1">
      <alignment horizontal="left" vertical="top"/>
    </xf>
    <xf numFmtId="0" fontId="5" fillId="0" borderId="3"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6" fillId="0" borderId="4" xfId="0" applyFont="1" applyBorder="1" applyAlignment="1">
      <alignment vertical="top"/>
    </xf>
    <xf numFmtId="0" fontId="5" fillId="0" borderId="5" xfId="0" applyFont="1" applyBorder="1" applyAlignment="1">
      <alignment vertical="top"/>
    </xf>
    <xf numFmtId="0" fontId="5" fillId="0" borderId="0" xfId="0" applyFont="1"/>
    <xf numFmtId="0" fontId="15" fillId="0" borderId="0" xfId="0" applyFont="1"/>
    <xf numFmtId="0" fontId="13" fillId="0" borderId="8" xfId="0" applyFont="1" applyBorder="1" applyAlignment="1">
      <alignment horizontal="center" vertical="center" wrapText="1" readingOrder="1"/>
    </xf>
    <xf numFmtId="0" fontId="13" fillId="0" borderId="9" xfId="0" applyFont="1" applyBorder="1" applyAlignment="1">
      <alignment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vertical="center" wrapText="1" readingOrder="1"/>
    </xf>
    <xf numFmtId="0" fontId="17" fillId="0" borderId="3" xfId="0" applyFont="1" applyBorder="1" applyAlignment="1">
      <alignment horizontal="left" vertical="top" wrapText="1"/>
    </xf>
    <xf numFmtId="0" fontId="21" fillId="5" borderId="0" xfId="0" applyFont="1" applyFill="1" applyAlignment="1">
      <alignment vertical="top" wrapText="1"/>
    </xf>
    <xf numFmtId="0" fontId="21" fillId="5" borderId="0" xfId="0" applyFont="1" applyFill="1" applyAlignment="1">
      <alignment vertical="top"/>
    </xf>
    <xf numFmtId="165" fontId="9" fillId="0" borderId="1" xfId="0" applyNumberFormat="1" applyFont="1" applyBorder="1" applyAlignment="1">
      <alignment horizontal="left" vertical="top"/>
    </xf>
    <xf numFmtId="0" fontId="0" fillId="0" borderId="1" xfId="0" applyBorder="1" applyAlignment="1">
      <alignment vertical="top"/>
    </xf>
    <xf numFmtId="164" fontId="7" fillId="3" borderId="1" xfId="1" applyNumberFormat="1" applyFont="1" applyFill="1" applyBorder="1" applyAlignment="1">
      <alignment horizontal="center" vertical="top" wrapText="1"/>
    </xf>
    <xf numFmtId="0" fontId="8" fillId="0" borderId="0" xfId="0" applyFont="1" applyAlignment="1">
      <alignment vertical="top"/>
    </xf>
    <xf numFmtId="164" fontId="10" fillId="2" borderId="1" xfId="1" applyNumberFormat="1" applyFont="1" applyFill="1" applyBorder="1" applyAlignment="1">
      <alignment horizontal="center" vertical="center" wrapText="1"/>
    </xf>
    <xf numFmtId="0" fontId="8" fillId="0" borderId="0" xfId="0" applyFont="1" applyAlignment="1">
      <alignment horizontal="left" vertical="center"/>
    </xf>
    <xf numFmtId="0" fontId="27" fillId="0" borderId="5" xfId="0" applyFont="1" applyBorder="1"/>
    <xf numFmtId="0" fontId="29" fillId="0" borderId="5" xfId="0" applyFont="1" applyBorder="1" applyAlignment="1">
      <alignment wrapText="1"/>
    </xf>
    <xf numFmtId="0" fontId="30" fillId="0" borderId="3" xfId="0" applyFont="1" applyBorder="1"/>
    <xf numFmtId="0" fontId="28" fillId="0" borderId="3" xfId="0" applyFont="1" applyBorder="1"/>
    <xf numFmtId="0" fontId="29" fillId="0" borderId="3" xfId="0" applyFont="1" applyBorder="1"/>
    <xf numFmtId="0" fontId="27" fillId="0" borderId="3" xfId="0" applyFont="1" applyBorder="1"/>
    <xf numFmtId="0" fontId="29" fillId="5" borderId="5" xfId="0" applyFont="1" applyFill="1" applyBorder="1" applyAlignment="1">
      <alignment wrapText="1"/>
    </xf>
    <xf numFmtId="0" fontId="29" fillId="5" borderId="3" xfId="0" applyFont="1" applyFill="1" applyBorder="1"/>
    <xf numFmtId="0" fontId="27" fillId="5" borderId="3" xfId="0" applyFont="1" applyFill="1" applyBorder="1"/>
    <xf numFmtId="0" fontId="29" fillId="5" borderId="3" xfId="0" applyFont="1" applyFill="1" applyBorder="1" applyAlignment="1">
      <alignment horizontal="left" vertical="top"/>
    </xf>
    <xf numFmtId="0" fontId="27" fillId="5" borderId="3" xfId="0" applyFont="1" applyFill="1" applyBorder="1" applyAlignment="1">
      <alignment horizontal="left" vertical="top"/>
    </xf>
    <xf numFmtId="0" fontId="22" fillId="0" borderId="3" xfId="0" applyFont="1" applyBorder="1"/>
    <xf numFmtId="0" fontId="29" fillId="0" borderId="5" xfId="0" applyFont="1" applyBorder="1"/>
    <xf numFmtId="0" fontId="22" fillId="0" borderId="1" xfId="0" applyFont="1" applyBorder="1" applyAlignment="1">
      <alignment vertical="top" wrapText="1"/>
    </xf>
    <xf numFmtId="0" fontId="0" fillId="5" borderId="0" xfId="0" applyFill="1"/>
    <xf numFmtId="0" fontId="31" fillId="6" borderId="0" xfId="0" applyFont="1" applyFill="1"/>
    <xf numFmtId="0" fontId="0" fillId="6" borderId="0" xfId="0" applyFill="1" applyAlignment="1">
      <alignment vertical="top"/>
    </xf>
    <xf numFmtId="0" fontId="32" fillId="6" borderId="0" xfId="0" applyFont="1" applyFill="1" applyAlignment="1">
      <alignment vertical="top"/>
    </xf>
    <xf numFmtId="0" fontId="21" fillId="0" borderId="1" xfId="0" applyFont="1" applyBorder="1" applyAlignment="1">
      <alignment vertical="top" wrapText="1"/>
    </xf>
    <xf numFmtId="0" fontId="22" fillId="0" borderId="1" xfId="0" applyFont="1" applyBorder="1" applyAlignment="1" applyProtection="1">
      <alignment horizontal="left" vertical="top" wrapText="1"/>
      <protection locked="0"/>
    </xf>
    <xf numFmtId="0" fontId="18"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164" fontId="20" fillId="2" borderId="1" xfId="1" applyNumberFormat="1" applyFont="1" applyFill="1" applyBorder="1" applyAlignment="1">
      <alignment horizontal="center" vertical="center" wrapText="1"/>
    </xf>
    <xf numFmtId="0" fontId="25" fillId="2" borderId="1" xfId="0" applyFont="1" applyFill="1" applyBorder="1" applyAlignment="1">
      <alignment horizontal="center" vertical="center" wrapText="1"/>
    </xf>
    <xf numFmtId="0" fontId="19" fillId="3" borderId="1" xfId="0" applyFont="1" applyFill="1" applyBorder="1" applyAlignment="1">
      <alignment horizontal="center" vertical="top" wrapText="1"/>
    </xf>
    <xf numFmtId="164" fontId="19" fillId="3" borderId="1" xfId="1" applyNumberFormat="1" applyFont="1" applyFill="1" applyBorder="1" applyAlignment="1">
      <alignment horizontal="center" vertical="top" wrapText="1"/>
    </xf>
    <xf numFmtId="0" fontId="22" fillId="0" borderId="1" xfId="0" applyFont="1" applyBorder="1" applyAlignment="1">
      <alignment horizontal="left" vertical="top" wrapText="1"/>
    </xf>
    <xf numFmtId="4" fontId="0" fillId="0" borderId="1" xfId="0" applyNumberFormat="1" applyBorder="1" applyAlignment="1" applyProtection="1">
      <alignment horizontal="left" vertical="top"/>
      <protection locked="0"/>
    </xf>
    <xf numFmtId="0" fontId="21" fillId="0" borderId="1" xfId="0" applyFont="1" applyBorder="1" applyAlignment="1">
      <alignment horizontal="left" vertical="top" wrapText="1"/>
    </xf>
    <xf numFmtId="14" fontId="21" fillId="0" borderId="1" xfId="0" applyNumberFormat="1" applyFont="1" applyBorder="1" applyAlignment="1">
      <alignment horizontal="left" vertical="top" wrapText="1"/>
    </xf>
    <xf numFmtId="4" fontId="22" fillId="0" borderId="1" xfId="0" applyNumberFormat="1" applyFont="1" applyBorder="1" applyAlignment="1" applyProtection="1">
      <alignment horizontal="left" vertical="top" wrapText="1"/>
      <protection locked="0"/>
    </xf>
    <xf numFmtId="0" fontId="21" fillId="0" borderId="1" xfId="0" applyFont="1" applyBorder="1" applyAlignment="1" applyProtection="1">
      <alignment horizontal="left" vertical="top" wrapText="1"/>
      <protection locked="0"/>
    </xf>
    <xf numFmtId="166" fontId="20" fillId="0" borderId="1" xfId="0" applyNumberFormat="1" applyFont="1" applyBorder="1" applyAlignment="1">
      <alignment horizontal="right" vertical="top" wrapText="1"/>
    </xf>
    <xf numFmtId="14" fontId="26" fillId="0" borderId="1" xfId="0" applyNumberFormat="1" applyFont="1" applyBorder="1" applyAlignment="1">
      <alignment horizontal="left" vertical="top" wrapText="1"/>
    </xf>
    <xf numFmtId="0" fontId="20" fillId="0" borderId="1" xfId="0" applyFont="1" applyBorder="1" applyAlignment="1">
      <alignment vertical="top" wrapText="1"/>
    </xf>
    <xf numFmtId="14" fontId="22" fillId="0" borderId="1" xfId="0" applyNumberFormat="1" applyFont="1" applyBorder="1" applyAlignment="1">
      <alignment horizontal="left" vertical="top" wrapText="1"/>
    </xf>
    <xf numFmtId="0" fontId="21" fillId="5" borderId="1" xfId="0" applyFont="1" applyFill="1" applyBorder="1" applyAlignment="1">
      <alignment horizontal="left" vertical="top" wrapText="1"/>
    </xf>
    <xf numFmtId="0" fontId="21" fillId="5" borderId="1" xfId="0" applyFont="1" applyFill="1" applyBorder="1" applyAlignment="1">
      <alignment vertical="top" wrapText="1"/>
    </xf>
    <xf numFmtId="0" fontId="22" fillId="5" borderId="1" xfId="0" applyFont="1" applyFill="1" applyBorder="1" applyAlignment="1" applyProtection="1">
      <alignment horizontal="left" vertical="top" wrapText="1"/>
      <protection locked="0"/>
    </xf>
    <xf numFmtId="0" fontId="22" fillId="5" borderId="1" xfId="0" applyFont="1" applyFill="1" applyBorder="1" applyAlignment="1">
      <alignment horizontal="left" vertical="top" wrapText="1"/>
    </xf>
    <xf numFmtId="166" fontId="21" fillId="5" borderId="1" xfId="0" applyNumberFormat="1" applyFont="1" applyFill="1" applyBorder="1" applyAlignment="1">
      <alignment horizontal="left" vertical="top" wrapText="1"/>
    </xf>
    <xf numFmtId="0" fontId="20" fillId="0" borderId="1" xfId="0" applyFont="1" applyBorder="1" applyAlignment="1">
      <alignment horizontal="right" vertical="top" wrapText="1"/>
    </xf>
    <xf numFmtId="14" fontId="26" fillId="5" borderId="1" xfId="0" applyNumberFormat="1" applyFont="1" applyFill="1" applyBorder="1" applyAlignment="1">
      <alignment horizontal="left" vertical="top" wrapText="1"/>
    </xf>
    <xf numFmtId="0" fontId="24" fillId="5" borderId="1" xfId="0" applyFont="1" applyFill="1" applyBorder="1" applyAlignment="1" applyProtection="1">
      <alignment horizontal="left" vertical="top" wrapText="1"/>
      <protection locked="0"/>
    </xf>
    <xf numFmtId="166" fontId="21" fillId="0" borderId="1" xfId="0" applyNumberFormat="1" applyFont="1" applyBorder="1" applyAlignment="1">
      <alignment horizontal="left" vertical="top" wrapText="1"/>
    </xf>
    <xf numFmtId="166" fontId="21" fillId="5" borderId="1" xfId="0" applyNumberFormat="1" applyFont="1" applyFill="1" applyBorder="1" applyAlignment="1">
      <alignment horizontal="right" vertical="top" wrapText="1"/>
    </xf>
    <xf numFmtId="4" fontId="22" fillId="5" borderId="1" xfId="0" applyNumberFormat="1" applyFont="1" applyFill="1" applyBorder="1" applyAlignment="1" applyProtection="1">
      <alignment horizontal="left" vertical="top" wrapText="1"/>
      <protection locked="0"/>
    </xf>
    <xf numFmtId="14" fontId="21" fillId="5" borderId="1" xfId="0" applyNumberFormat="1" applyFont="1" applyFill="1" applyBorder="1" applyAlignment="1">
      <alignment horizontal="left" vertical="top" wrapText="1"/>
    </xf>
    <xf numFmtId="0" fontId="21" fillId="5" borderId="1" xfId="0" applyFont="1" applyFill="1" applyBorder="1" applyAlignment="1">
      <alignment vertical="top"/>
    </xf>
    <xf numFmtId="166" fontId="20" fillId="0" borderId="1" xfId="0" applyNumberFormat="1" applyFont="1" applyBorder="1" applyAlignment="1">
      <alignment horizontal="left" vertical="top" wrapText="1"/>
    </xf>
    <xf numFmtId="0" fontId="0" fillId="0" borderId="1" xfId="0" applyBorder="1" applyAlignment="1">
      <alignment vertical="top" wrapText="1"/>
    </xf>
    <xf numFmtId="166" fontId="18" fillId="0" borderId="1" xfId="0" applyNumberFormat="1" applyFont="1" applyBorder="1" applyAlignment="1">
      <alignment horizontal="left" vertical="top" wrapText="1"/>
    </xf>
    <xf numFmtId="0" fontId="21" fillId="5" borderId="1" xfId="0" applyFont="1" applyFill="1" applyBorder="1" applyAlignment="1" applyProtection="1">
      <alignment horizontal="left" vertical="top" wrapText="1"/>
      <protection locked="0"/>
    </xf>
    <xf numFmtId="0" fontId="20" fillId="0" borderId="1" xfId="0" applyFont="1" applyBorder="1" applyAlignment="1">
      <alignment horizontal="left" vertical="top" wrapText="1"/>
    </xf>
    <xf numFmtId="0" fontId="21" fillId="0" borderId="1" xfId="0" applyFont="1" applyBorder="1" applyAlignment="1">
      <alignment vertical="top"/>
    </xf>
    <xf numFmtId="14" fontId="21" fillId="0" borderId="1" xfId="0" applyNumberFormat="1" applyFont="1" applyBorder="1" applyAlignment="1">
      <alignment horizontal="left" vertical="top"/>
    </xf>
    <xf numFmtId="0" fontId="6" fillId="0" borderId="4" xfId="0" applyFont="1" applyBorder="1" applyAlignment="1">
      <alignment vertical="top" wrapText="1"/>
    </xf>
    <xf numFmtId="0" fontId="12" fillId="4" borderId="6" xfId="0" applyFont="1" applyFill="1" applyBorder="1" applyAlignment="1">
      <alignment wrapText="1" readingOrder="1"/>
    </xf>
    <xf numFmtId="0" fontId="12" fillId="4" borderId="7" xfId="0" applyFont="1" applyFill="1" applyBorder="1" applyAlignment="1">
      <alignment wrapText="1" readingOrder="1"/>
    </xf>
    <xf numFmtId="0" fontId="12" fillId="4" borderId="9" xfId="0" applyFont="1" applyFill="1" applyBorder="1" applyAlignment="1">
      <alignment wrapText="1" readingOrder="1"/>
    </xf>
    <xf numFmtId="0" fontId="28" fillId="0" borderId="3" xfId="0" applyFont="1" applyBorder="1" applyAlignment="1">
      <alignment horizontal="center"/>
    </xf>
    <xf numFmtId="0" fontId="29" fillId="0" borderId="3" xfId="0" applyFont="1" applyBorder="1" applyAlignment="1">
      <alignment horizontal="center"/>
    </xf>
    <xf numFmtId="0" fontId="3" fillId="0" borderId="0" xfId="0" applyFont="1" applyAlignment="1">
      <alignment horizontal="left" vertical="top" wrapText="1"/>
    </xf>
    <xf numFmtId="0" fontId="21" fillId="6" borderId="1" xfId="0" applyFont="1" applyFill="1" applyBorder="1" applyAlignment="1">
      <alignment vertical="top" wrapText="1"/>
    </xf>
    <xf numFmtId="0" fontId="20" fillId="6" borderId="1" xfId="0" applyFont="1" applyFill="1" applyBorder="1" applyAlignment="1">
      <alignment horizontal="left" vertical="top" wrapText="1"/>
    </xf>
    <xf numFmtId="0" fontId="0" fillId="6" borderId="1" xfId="0" applyFill="1" applyBorder="1" applyAlignment="1">
      <alignment vertical="top"/>
    </xf>
    <xf numFmtId="14" fontId="21" fillId="6" borderId="1" xfId="0" applyNumberFormat="1" applyFont="1" applyFill="1" applyBorder="1" applyAlignment="1">
      <alignment horizontal="left" vertical="top"/>
    </xf>
    <xf numFmtId="0" fontId="21" fillId="6" borderId="1" xfId="0" applyFont="1" applyFill="1" applyBorder="1" applyAlignment="1">
      <alignment vertical="top"/>
    </xf>
    <xf numFmtId="0" fontId="12" fillId="4" borderId="8" xfId="0" applyFont="1" applyFill="1" applyBorder="1" applyAlignment="1">
      <alignment wrapText="1" readingOrder="1"/>
    </xf>
    <xf numFmtId="6" fontId="1" fillId="0" borderId="1" xfId="0" applyNumberFormat="1" applyFont="1" applyBorder="1" applyAlignment="1">
      <alignment vertical="top"/>
    </xf>
    <xf numFmtId="0" fontId="9" fillId="0" borderId="1" xfId="0" applyFont="1" applyBorder="1" applyAlignment="1" applyProtection="1">
      <alignment horizontal="left" vertical="top" wrapText="1"/>
      <protection locked="0"/>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workbookViewId="0">
      <selection activeCell="B35" sqref="B35"/>
    </sheetView>
  </sheetViews>
  <sheetFormatPr defaultRowHeight="15"/>
  <cols>
    <col min="1" max="1" width="5.5703125" customWidth="1"/>
    <col min="2" max="2" width="88.28515625" customWidth="1"/>
  </cols>
  <sheetData>
    <row r="1" spans="1:2" s="22" customFormat="1" ht="15.75">
      <c r="A1" s="23" t="s">
        <v>0</v>
      </c>
    </row>
    <row r="2" spans="1:2" s="22" customFormat="1" ht="15.75">
      <c r="A2" s="22" t="s">
        <v>1</v>
      </c>
    </row>
    <row r="3" spans="1:2" s="22" customFormat="1" ht="15.75">
      <c r="A3" s="22" t="s">
        <v>2</v>
      </c>
    </row>
    <row r="4" spans="1:2" s="22" customFormat="1" ht="15.75"/>
    <row r="5" spans="1:2" s="22" customFormat="1" ht="15.75">
      <c r="A5" s="23" t="s">
        <v>3</v>
      </c>
    </row>
    <row r="6" spans="1:2" s="22" customFormat="1" ht="15.75">
      <c r="A6" s="22" t="s">
        <v>4</v>
      </c>
    </row>
    <row r="7" spans="1:2" ht="15.75">
      <c r="A7" s="22" t="s">
        <v>5</v>
      </c>
    </row>
    <row r="8" spans="1:2" s="22" customFormat="1" ht="15.75">
      <c r="A8" s="22" t="s">
        <v>6</v>
      </c>
    </row>
    <row r="10" spans="1:2">
      <c r="A10" s="94" t="s">
        <v>7</v>
      </c>
      <c r="B10" s="95"/>
    </row>
    <row r="11" spans="1:2" ht="28.5" customHeight="1">
      <c r="A11" s="24" t="s">
        <v>8</v>
      </c>
      <c r="B11" s="25" t="s">
        <v>9</v>
      </c>
    </row>
    <row r="12" spans="1:2" ht="39" customHeight="1">
      <c r="A12" s="24" t="s">
        <v>10</v>
      </c>
      <c r="B12" s="25" t="s">
        <v>11</v>
      </c>
    </row>
    <row r="13" spans="1:2" ht="26.25" customHeight="1">
      <c r="A13" s="24" t="s">
        <v>12</v>
      </c>
      <c r="B13" s="25" t="s">
        <v>13</v>
      </c>
    </row>
    <row r="14" spans="1:2">
      <c r="A14" s="105" t="s">
        <v>14</v>
      </c>
      <c r="B14" s="96"/>
    </row>
    <row r="15" spans="1:2" ht="35.25" customHeight="1">
      <c r="A15" s="24" t="s">
        <v>8</v>
      </c>
      <c r="B15" s="25" t="s">
        <v>15</v>
      </c>
    </row>
    <row r="16" spans="1:2" ht="24.75" customHeight="1">
      <c r="A16" s="24" t="s">
        <v>10</v>
      </c>
      <c r="B16" s="25" t="s">
        <v>16</v>
      </c>
    </row>
    <row r="17" spans="1:2" ht="45">
      <c r="A17" s="24" t="s">
        <v>12</v>
      </c>
      <c r="B17" s="25" t="s">
        <v>17</v>
      </c>
    </row>
    <row r="18" spans="1:2" ht="37.5" customHeight="1">
      <c r="A18" s="24" t="s">
        <v>18</v>
      </c>
      <c r="B18" s="25" t="s">
        <v>19</v>
      </c>
    </row>
    <row r="19" spans="1:2" ht="44.45" customHeight="1">
      <c r="A19" s="26" t="s">
        <v>20</v>
      </c>
      <c r="B19" s="27" t="s">
        <v>21</v>
      </c>
    </row>
    <row r="21" spans="1:2" s="22" customFormat="1" ht="15.75">
      <c r="A21" s="23" t="s">
        <v>22</v>
      </c>
    </row>
    <row r="22" spans="1:2" ht="15.75">
      <c r="A22" s="22" t="s">
        <v>23</v>
      </c>
    </row>
    <row r="23" spans="1:2" ht="15.75">
      <c r="A23" s="22" t="s">
        <v>24</v>
      </c>
    </row>
    <row r="25" spans="1:2" s="22" customFormat="1" ht="15.75">
      <c r="A25" s="23" t="s">
        <v>25</v>
      </c>
    </row>
    <row r="26" spans="1:2" s="22" customFormat="1" ht="15.75">
      <c r="A26" s="22" t="s">
        <v>26</v>
      </c>
    </row>
    <row r="27" spans="1:2" ht="15.75">
      <c r="A27" s="22" t="s">
        <v>27</v>
      </c>
    </row>
    <row r="28" spans="1:2" ht="15.75">
      <c r="A28" s="22"/>
    </row>
    <row r="29" spans="1:2" ht="15.75">
      <c r="A29" s="23" t="s">
        <v>28</v>
      </c>
      <c r="B29" s="22"/>
    </row>
    <row r="30" spans="1:2" ht="15.75">
      <c r="A30" s="22" t="s">
        <v>29</v>
      </c>
      <c r="B30" s="22"/>
    </row>
    <row r="32" spans="1:2" ht="15.75">
      <c r="A32" s="23" t="s">
        <v>30</v>
      </c>
      <c r="B32" s="22"/>
    </row>
    <row r="33" spans="1:1" ht="15.75">
      <c r="A33" s="22" t="s">
        <v>31</v>
      </c>
    </row>
    <row r="35" spans="1:1">
      <c r="A35" t="s">
        <v>32</v>
      </c>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52A2-9810-4762-928B-DB82476628B0}">
  <dimension ref="A1:D16"/>
  <sheetViews>
    <sheetView workbookViewId="0">
      <selection activeCell="B33" sqref="B33"/>
    </sheetView>
  </sheetViews>
  <sheetFormatPr defaultColWidth="46.28515625" defaultRowHeight="15"/>
  <cols>
    <col min="1" max="1" width="58.85546875" customWidth="1"/>
  </cols>
  <sheetData>
    <row r="1" spans="1:4" ht="15.75">
      <c r="A1" s="37"/>
      <c r="B1" s="97" t="s">
        <v>33</v>
      </c>
      <c r="C1" s="97"/>
      <c r="D1" s="97"/>
    </row>
    <row r="2" spans="1:4" ht="15.75">
      <c r="A2" s="38" t="s">
        <v>34</v>
      </c>
      <c r="B2" s="39" t="s">
        <v>35</v>
      </c>
      <c r="C2" s="40" t="s">
        <v>36</v>
      </c>
      <c r="D2" s="40" t="s">
        <v>37</v>
      </c>
    </row>
    <row r="3" spans="1:4" ht="15.75">
      <c r="A3" s="38" t="s">
        <v>38</v>
      </c>
      <c r="B3" s="41" t="s">
        <v>39</v>
      </c>
      <c r="C3" s="42" t="s">
        <v>40</v>
      </c>
      <c r="D3" s="42" t="s">
        <v>41</v>
      </c>
    </row>
    <row r="4" spans="1:4" ht="15.75">
      <c r="A4" s="43" t="s">
        <v>42</v>
      </c>
      <c r="B4" s="44" t="s">
        <v>43</v>
      </c>
      <c r="C4" s="45" t="s">
        <v>44</v>
      </c>
      <c r="D4" s="45" t="s">
        <v>45</v>
      </c>
    </row>
    <row r="5" spans="1:4" ht="15.75">
      <c r="A5" s="43" t="s">
        <v>46</v>
      </c>
      <c r="B5" s="46">
        <v>470003</v>
      </c>
      <c r="C5" s="47">
        <v>471307</v>
      </c>
      <c r="D5" s="47">
        <v>470001</v>
      </c>
    </row>
    <row r="6" spans="1:4" s="51" customFormat="1" ht="15.75">
      <c r="A6" s="43" t="s">
        <v>47</v>
      </c>
      <c r="B6" s="46">
        <v>1568419976</v>
      </c>
      <c r="C6" s="47">
        <v>1740291400</v>
      </c>
      <c r="D6" s="47">
        <v>1508845637</v>
      </c>
    </row>
    <row r="7" spans="1:4" ht="15.75">
      <c r="A7" s="38" t="s">
        <v>48</v>
      </c>
      <c r="B7" s="41" t="s">
        <v>49</v>
      </c>
      <c r="C7" s="42" t="s">
        <v>50</v>
      </c>
      <c r="D7" s="42" t="s">
        <v>51</v>
      </c>
    </row>
    <row r="8" spans="1:4" ht="15.75">
      <c r="A8" s="38" t="s">
        <v>52</v>
      </c>
      <c r="B8" s="41" t="s">
        <v>53</v>
      </c>
      <c r="C8" s="42" t="s">
        <v>54</v>
      </c>
      <c r="D8" s="42" t="s">
        <v>54</v>
      </c>
    </row>
    <row r="9" spans="1:4" ht="15.75">
      <c r="A9" s="38" t="s">
        <v>55</v>
      </c>
      <c r="B9" s="41" t="s">
        <v>56</v>
      </c>
      <c r="C9" s="42" t="s">
        <v>57</v>
      </c>
      <c r="D9" s="42" t="s">
        <v>58</v>
      </c>
    </row>
    <row r="10" spans="1:4" ht="15.75">
      <c r="A10" s="38" t="s">
        <v>59</v>
      </c>
      <c r="B10" s="41" t="s">
        <v>60</v>
      </c>
      <c r="C10" s="42" t="s">
        <v>61</v>
      </c>
      <c r="D10" s="42" t="s">
        <v>62</v>
      </c>
    </row>
    <row r="11" spans="1:4" ht="15.75">
      <c r="A11" s="38" t="s">
        <v>63</v>
      </c>
      <c r="B11" s="44" t="s">
        <v>64</v>
      </c>
      <c r="C11" s="45" t="s">
        <v>65</v>
      </c>
      <c r="D11" s="48" t="s">
        <v>66</v>
      </c>
    </row>
    <row r="12" spans="1:4" ht="15.75">
      <c r="A12" s="38" t="s">
        <v>67</v>
      </c>
      <c r="B12" s="98" t="s">
        <v>68</v>
      </c>
      <c r="C12" s="98"/>
      <c r="D12" s="98"/>
    </row>
    <row r="13" spans="1:4" ht="15.75">
      <c r="A13" s="38" t="s">
        <v>69</v>
      </c>
      <c r="B13" s="41" t="s">
        <v>70</v>
      </c>
      <c r="C13" s="42" t="s">
        <v>71</v>
      </c>
      <c r="D13" s="42" t="s">
        <v>72</v>
      </c>
    </row>
    <row r="14" spans="1:4" ht="15.75">
      <c r="A14" s="38" t="s">
        <v>73</v>
      </c>
      <c r="B14" s="41" t="s">
        <v>74</v>
      </c>
      <c r="C14" s="42" t="s">
        <v>74</v>
      </c>
      <c r="D14" s="42" t="s">
        <v>74</v>
      </c>
    </row>
    <row r="15" spans="1:4" ht="15.75">
      <c r="A15" s="38" t="s">
        <v>75</v>
      </c>
      <c r="B15" s="44">
        <v>478</v>
      </c>
      <c r="C15" s="45">
        <v>25</v>
      </c>
      <c r="D15" s="45">
        <v>88</v>
      </c>
    </row>
    <row r="16" spans="1:4" ht="15.75">
      <c r="A16" s="49" t="s">
        <v>76</v>
      </c>
      <c r="B16" s="41" t="s">
        <v>77</v>
      </c>
      <c r="C16" s="42" t="s">
        <v>77</v>
      </c>
      <c r="D16" s="42" t="s">
        <v>77</v>
      </c>
    </row>
  </sheetData>
  <mergeCells count="2">
    <mergeCell ref="B1:D1"/>
    <mergeCell ref="B12:D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P637"/>
  <sheetViews>
    <sheetView tabSelected="1" zoomScaleNormal="100" workbookViewId="0">
      <pane xSplit="1" ySplit="2" topLeftCell="E16" activePane="bottomRight" state="frozen"/>
      <selection pane="bottomRight" activeCell="A19" sqref="A19:P19"/>
      <selection pane="bottomLeft" activeCell="A3" sqref="A3"/>
      <selection pane="topRight" activeCell="B1" sqref="B1"/>
    </sheetView>
  </sheetViews>
  <sheetFormatPr defaultColWidth="9.140625" defaultRowHeight="15"/>
  <cols>
    <col min="1" max="1" width="40.28515625" style="29" customWidth="1"/>
    <col min="2" max="2" width="20.7109375" style="29" customWidth="1"/>
    <col min="3" max="3" width="20" style="29" customWidth="1"/>
    <col min="4" max="4" width="113.7109375" style="29" customWidth="1"/>
    <col min="5" max="5" width="25" style="29" customWidth="1"/>
    <col min="6" max="6" width="33.42578125" style="29" customWidth="1"/>
    <col min="7" max="7" width="17.5703125" style="34" customWidth="1"/>
    <col min="8" max="8" width="20" style="30" customWidth="1"/>
    <col min="9" max="9" width="40" style="30" customWidth="1"/>
    <col min="10" max="10" width="62" style="30" customWidth="1"/>
    <col min="11" max="11" width="16.28515625" style="30" customWidth="1"/>
    <col min="12" max="12" width="22.28515625" style="30" customWidth="1"/>
    <col min="13" max="13" width="29.7109375" style="30" customWidth="1"/>
    <col min="14" max="14" width="38.140625" style="30" customWidth="1"/>
    <col min="15" max="15" width="15.140625" style="30" customWidth="1"/>
    <col min="16" max="16" width="57.42578125" style="30" customWidth="1"/>
    <col min="17" max="16384" width="9.140625" style="34"/>
  </cols>
  <sheetData>
    <row r="1" spans="1:16" s="36" customFormat="1" ht="90">
      <c r="A1" s="57" t="s">
        <v>78</v>
      </c>
      <c r="B1" s="57" t="s">
        <v>79</v>
      </c>
      <c r="C1" s="57" t="s">
        <v>80</v>
      </c>
      <c r="D1" s="58" t="s">
        <v>81</v>
      </c>
      <c r="E1" s="58" t="s">
        <v>82</v>
      </c>
      <c r="F1" s="58" t="s">
        <v>83</v>
      </c>
      <c r="G1" s="35" t="s">
        <v>84</v>
      </c>
      <c r="H1" s="58" t="s">
        <v>85</v>
      </c>
      <c r="I1" s="59" t="s">
        <v>86</v>
      </c>
      <c r="J1" s="60" t="s">
        <v>87</v>
      </c>
      <c r="K1" s="60" t="s">
        <v>88</v>
      </c>
      <c r="L1" s="60" t="s">
        <v>89</v>
      </c>
      <c r="M1" s="60" t="s">
        <v>90</v>
      </c>
      <c r="N1" s="58" t="s">
        <v>91</v>
      </c>
      <c r="O1" s="58" t="s">
        <v>92</v>
      </c>
      <c r="P1" s="58" t="s">
        <v>93</v>
      </c>
    </row>
    <row r="2" spans="1:16" ht="30">
      <c r="A2" s="61" t="s">
        <v>94</v>
      </c>
      <c r="B2" s="61" t="s">
        <v>95</v>
      </c>
      <c r="C2" s="61" t="s">
        <v>96</v>
      </c>
      <c r="D2" s="61" t="s">
        <v>97</v>
      </c>
      <c r="E2" s="61" t="s">
        <v>98</v>
      </c>
      <c r="F2" s="61" t="s">
        <v>99</v>
      </c>
      <c r="G2" s="33" t="s">
        <v>100</v>
      </c>
      <c r="H2" s="62" t="s">
        <v>101</v>
      </c>
      <c r="I2" s="62" t="s">
        <v>102</v>
      </c>
      <c r="J2" s="61" t="s">
        <v>103</v>
      </c>
      <c r="K2" s="61" t="s">
        <v>104</v>
      </c>
      <c r="L2" s="61" t="s">
        <v>105</v>
      </c>
      <c r="M2" s="61" t="s">
        <v>106</v>
      </c>
      <c r="N2" s="61" t="s">
        <v>107</v>
      </c>
      <c r="O2" s="61" t="s">
        <v>108</v>
      </c>
      <c r="P2" s="61" t="s">
        <v>109</v>
      </c>
    </row>
    <row r="3" spans="1:16" s="16" customFormat="1" ht="270">
      <c r="A3" s="55" t="s">
        <v>110</v>
      </c>
      <c r="B3" s="63" t="s">
        <v>111</v>
      </c>
      <c r="C3" s="56" t="s">
        <v>112</v>
      </c>
      <c r="D3" s="55" t="s">
        <v>113</v>
      </c>
      <c r="E3" s="55" t="s">
        <v>114</v>
      </c>
      <c r="F3" s="55" t="s">
        <v>115</v>
      </c>
      <c r="G3" s="31"/>
      <c r="H3" s="64" t="s">
        <v>116</v>
      </c>
      <c r="I3" s="50" t="s">
        <v>117</v>
      </c>
      <c r="J3" s="65" t="s">
        <v>118</v>
      </c>
      <c r="K3" s="66">
        <v>46023</v>
      </c>
      <c r="L3" s="65" t="s">
        <v>119</v>
      </c>
      <c r="M3" s="55" t="s">
        <v>120</v>
      </c>
      <c r="N3" s="55" t="s">
        <v>121</v>
      </c>
      <c r="O3" s="67" t="s">
        <v>122</v>
      </c>
      <c r="P3" s="63"/>
    </row>
    <row r="4" spans="1:16" s="16" customFormat="1" ht="195">
      <c r="A4" s="63" t="s">
        <v>123</v>
      </c>
      <c r="B4" s="63" t="s">
        <v>111</v>
      </c>
      <c r="C4" s="56" t="s">
        <v>112</v>
      </c>
      <c r="D4" s="68" t="s">
        <v>124</v>
      </c>
      <c r="E4" s="55" t="s">
        <v>125</v>
      </c>
      <c r="F4" s="63" t="s">
        <v>126</v>
      </c>
      <c r="G4" s="69" t="s">
        <v>127</v>
      </c>
      <c r="H4" s="64" t="s">
        <v>128</v>
      </c>
      <c r="I4" s="55" t="s">
        <v>129</v>
      </c>
      <c r="J4" s="65" t="s">
        <v>118</v>
      </c>
      <c r="K4" s="70">
        <v>46023</v>
      </c>
      <c r="L4" s="65" t="s">
        <v>119</v>
      </c>
      <c r="M4" s="63" t="s">
        <v>120</v>
      </c>
      <c r="N4" s="55" t="s">
        <v>121</v>
      </c>
      <c r="O4" s="67" t="s">
        <v>122</v>
      </c>
      <c r="P4" s="63"/>
    </row>
    <row r="5" spans="1:16" s="16" customFormat="1" ht="285">
      <c r="A5" s="55" t="s">
        <v>130</v>
      </c>
      <c r="B5" s="55" t="s">
        <v>131</v>
      </c>
      <c r="C5" s="56" t="s">
        <v>112</v>
      </c>
      <c r="D5" s="55" t="s">
        <v>132</v>
      </c>
      <c r="E5" s="55" t="s">
        <v>133</v>
      </c>
      <c r="F5" s="55" t="s">
        <v>134</v>
      </c>
      <c r="G5" s="69" t="s">
        <v>127</v>
      </c>
      <c r="H5" s="64" t="s">
        <v>128</v>
      </c>
      <c r="I5" s="55" t="s">
        <v>135</v>
      </c>
      <c r="J5" s="50" t="s">
        <v>136</v>
      </c>
      <c r="K5" s="66">
        <v>46023</v>
      </c>
      <c r="L5" s="65" t="s">
        <v>119</v>
      </c>
      <c r="M5" s="55" t="s">
        <v>137</v>
      </c>
      <c r="N5" s="55" t="s">
        <v>121</v>
      </c>
      <c r="O5" s="55" t="s">
        <v>122</v>
      </c>
      <c r="P5" s="55"/>
    </row>
    <row r="6" spans="1:16" s="16" customFormat="1" ht="105">
      <c r="A6" s="55" t="s">
        <v>138</v>
      </c>
      <c r="B6" s="55" t="s">
        <v>111</v>
      </c>
      <c r="C6" s="56" t="s">
        <v>112</v>
      </c>
      <c r="D6" s="55" t="s">
        <v>139</v>
      </c>
      <c r="E6" s="55" t="s">
        <v>140</v>
      </c>
      <c r="F6" s="55" t="s">
        <v>141</v>
      </c>
      <c r="G6" s="69" t="s">
        <v>127</v>
      </c>
      <c r="H6" s="64" t="s">
        <v>116</v>
      </c>
      <c r="I6" s="55" t="s">
        <v>142</v>
      </c>
      <c r="J6" s="50" t="s">
        <v>143</v>
      </c>
      <c r="K6" s="66">
        <v>46204</v>
      </c>
      <c r="L6" s="66">
        <v>46568</v>
      </c>
      <c r="M6" s="55" t="s">
        <v>144</v>
      </c>
      <c r="N6" s="55" t="s">
        <v>121</v>
      </c>
      <c r="O6" s="55" t="s">
        <v>122</v>
      </c>
      <c r="P6" s="55"/>
    </row>
    <row r="7" spans="1:16" ht="210">
      <c r="A7" s="55" t="s">
        <v>145</v>
      </c>
      <c r="B7" s="55" t="s">
        <v>111</v>
      </c>
      <c r="C7" s="56" t="s">
        <v>146</v>
      </c>
      <c r="D7" s="55" t="s">
        <v>147</v>
      </c>
      <c r="E7" s="55" t="s">
        <v>148</v>
      </c>
      <c r="F7" s="63" t="s">
        <v>149</v>
      </c>
      <c r="G7" s="69" t="s">
        <v>127</v>
      </c>
      <c r="H7" s="64" t="s">
        <v>128</v>
      </c>
      <c r="I7" s="71" t="s">
        <v>127</v>
      </c>
      <c r="J7" s="55" t="s">
        <v>150</v>
      </c>
      <c r="K7" s="65" t="s">
        <v>151</v>
      </c>
      <c r="L7" s="65" t="s">
        <v>151</v>
      </c>
      <c r="M7" s="55" t="s">
        <v>152</v>
      </c>
      <c r="N7" s="55" t="s">
        <v>121</v>
      </c>
      <c r="O7" s="55" t="s">
        <v>122</v>
      </c>
      <c r="P7" s="55"/>
    </row>
    <row r="8" spans="1:16" ht="150">
      <c r="A8" s="50" t="s">
        <v>153</v>
      </c>
      <c r="B8" s="55" t="s">
        <v>131</v>
      </c>
      <c r="C8" s="55" t="s">
        <v>154</v>
      </c>
      <c r="D8" s="55" t="s">
        <v>155</v>
      </c>
      <c r="E8" s="55" t="s">
        <v>156</v>
      </c>
      <c r="F8" s="55" t="s">
        <v>157</v>
      </c>
      <c r="G8" s="69" t="s">
        <v>127</v>
      </c>
      <c r="H8" s="64" t="s">
        <v>116</v>
      </c>
      <c r="I8" s="55" t="s">
        <v>158</v>
      </c>
      <c r="J8" s="55" t="s">
        <v>159</v>
      </c>
      <c r="K8" s="72">
        <v>46204</v>
      </c>
      <c r="L8" s="63" t="s">
        <v>151</v>
      </c>
      <c r="M8" s="55" t="s">
        <v>160</v>
      </c>
      <c r="N8" s="55" t="s">
        <v>121</v>
      </c>
      <c r="O8" s="55" t="s">
        <v>122</v>
      </c>
      <c r="P8" s="55"/>
    </row>
    <row r="9" spans="1:16" ht="75">
      <c r="A9" s="73" t="s">
        <v>161</v>
      </c>
      <c r="B9" s="74" t="s">
        <v>111</v>
      </c>
      <c r="C9" s="75" t="s">
        <v>112</v>
      </c>
      <c r="D9" s="75" t="s">
        <v>162</v>
      </c>
      <c r="E9" s="76" t="s">
        <v>163</v>
      </c>
      <c r="F9" s="76" t="s">
        <v>164</v>
      </c>
      <c r="G9" s="77" t="s">
        <v>165</v>
      </c>
      <c r="H9" s="64" t="s">
        <v>116</v>
      </c>
      <c r="I9" s="78" t="s">
        <v>127</v>
      </c>
      <c r="J9" s="63" t="s">
        <v>166</v>
      </c>
      <c r="K9" s="79">
        <v>46082</v>
      </c>
      <c r="L9" s="72">
        <v>46387</v>
      </c>
      <c r="M9" s="73" t="s">
        <v>167</v>
      </c>
      <c r="N9" s="55" t="s">
        <v>121</v>
      </c>
      <c r="O9" s="55" t="s">
        <v>122</v>
      </c>
      <c r="P9" s="74"/>
    </row>
    <row r="10" spans="1:16" ht="105">
      <c r="A10" s="73" t="s">
        <v>168</v>
      </c>
      <c r="B10" s="74" t="s">
        <v>169</v>
      </c>
      <c r="C10" s="75" t="s">
        <v>112</v>
      </c>
      <c r="D10" s="80" t="s">
        <v>170</v>
      </c>
      <c r="E10" s="81" t="s">
        <v>171</v>
      </c>
      <c r="F10" s="76" t="s">
        <v>172</v>
      </c>
      <c r="G10" s="78" t="s">
        <v>127</v>
      </c>
      <c r="H10" s="64" t="s">
        <v>128</v>
      </c>
      <c r="I10" s="78" t="s">
        <v>127</v>
      </c>
      <c r="J10" s="55" t="s">
        <v>173</v>
      </c>
      <c r="K10" s="79">
        <v>46023</v>
      </c>
      <c r="L10" s="72" t="s">
        <v>151</v>
      </c>
      <c r="M10" s="73" t="s">
        <v>174</v>
      </c>
      <c r="N10" s="55" t="s">
        <v>121</v>
      </c>
      <c r="O10" s="55" t="s">
        <v>122</v>
      </c>
      <c r="P10" s="74"/>
    </row>
    <row r="11" spans="1:16" ht="120">
      <c r="A11" s="76" t="s">
        <v>175</v>
      </c>
      <c r="B11" s="76" t="s">
        <v>111</v>
      </c>
      <c r="C11" s="75" t="s">
        <v>112</v>
      </c>
      <c r="D11" s="80" t="s">
        <v>176</v>
      </c>
      <c r="E11" s="76" t="s">
        <v>177</v>
      </c>
      <c r="F11" s="76" t="s">
        <v>157</v>
      </c>
      <c r="G11" s="82">
        <v>1800000</v>
      </c>
      <c r="H11" s="64" t="s">
        <v>116</v>
      </c>
      <c r="I11" s="77" t="s">
        <v>178</v>
      </c>
      <c r="J11" s="76" t="s">
        <v>179</v>
      </c>
      <c r="K11" s="79">
        <v>46082</v>
      </c>
      <c r="L11" s="72" t="s">
        <v>151</v>
      </c>
      <c r="M11" s="76" t="s">
        <v>180</v>
      </c>
      <c r="N11" s="55" t="s">
        <v>121</v>
      </c>
      <c r="O11" s="83" t="s">
        <v>122</v>
      </c>
      <c r="P11" s="76"/>
    </row>
    <row r="12" spans="1:16" ht="210">
      <c r="A12" s="74" t="s">
        <v>181</v>
      </c>
      <c r="B12" s="74" t="s">
        <v>131</v>
      </c>
      <c r="C12" s="75" t="s">
        <v>146</v>
      </c>
      <c r="D12" s="74" t="s">
        <v>182</v>
      </c>
      <c r="E12" s="73" t="s">
        <v>183</v>
      </c>
      <c r="F12" s="55" t="s">
        <v>134</v>
      </c>
      <c r="G12" s="82">
        <v>7112000</v>
      </c>
      <c r="H12" s="64" t="s">
        <v>116</v>
      </c>
      <c r="I12" s="77" t="s">
        <v>184</v>
      </c>
      <c r="J12" s="55" t="s">
        <v>185</v>
      </c>
      <c r="K12" s="84">
        <v>46023</v>
      </c>
      <c r="L12" s="84" t="s">
        <v>186</v>
      </c>
      <c r="M12" s="74" t="s">
        <v>187</v>
      </c>
      <c r="N12" s="55" t="s">
        <v>121</v>
      </c>
      <c r="O12" s="74" t="s">
        <v>122</v>
      </c>
      <c r="P12" s="74"/>
    </row>
    <row r="13" spans="1:16" ht="180">
      <c r="A13" s="74" t="s">
        <v>188</v>
      </c>
      <c r="B13" s="74" t="s">
        <v>131</v>
      </c>
      <c r="C13" s="74" t="s">
        <v>108</v>
      </c>
      <c r="D13" s="74" t="s">
        <v>189</v>
      </c>
      <c r="E13" s="74" t="s">
        <v>190</v>
      </c>
      <c r="F13" s="74" t="s">
        <v>191</v>
      </c>
      <c r="G13" s="106">
        <v>450000</v>
      </c>
      <c r="H13" s="64" t="s">
        <v>116</v>
      </c>
      <c r="I13" s="55" t="s">
        <v>127</v>
      </c>
      <c r="J13" s="74" t="s">
        <v>192</v>
      </c>
      <c r="K13" s="73" t="s">
        <v>193</v>
      </c>
      <c r="L13" s="73" t="s">
        <v>194</v>
      </c>
      <c r="M13" s="74" t="s">
        <v>195</v>
      </c>
      <c r="N13" s="74" t="s">
        <v>196</v>
      </c>
      <c r="O13" s="74" t="s">
        <v>122</v>
      </c>
      <c r="P13" s="74"/>
    </row>
    <row r="14" spans="1:16" ht="345">
      <c r="A14" s="50" t="s">
        <v>197</v>
      </c>
      <c r="B14" s="74" t="s">
        <v>131</v>
      </c>
      <c r="C14" s="74" t="s">
        <v>108</v>
      </c>
      <c r="D14" s="55" t="s">
        <v>198</v>
      </c>
      <c r="E14" s="55" t="s">
        <v>199</v>
      </c>
      <c r="F14" s="55" t="s">
        <v>200</v>
      </c>
      <c r="G14" s="86" t="s">
        <v>201</v>
      </c>
      <c r="H14" s="64" t="s">
        <v>116</v>
      </c>
      <c r="I14" s="55" t="s">
        <v>202</v>
      </c>
      <c r="J14" s="55" t="s">
        <v>185</v>
      </c>
      <c r="K14" s="66">
        <v>46054</v>
      </c>
      <c r="L14" s="65" t="s">
        <v>194</v>
      </c>
      <c r="M14" s="55" t="s">
        <v>203</v>
      </c>
      <c r="N14" s="55" t="s">
        <v>204</v>
      </c>
      <c r="O14" s="55" t="s">
        <v>122</v>
      </c>
      <c r="P14" s="55" t="s">
        <v>205</v>
      </c>
    </row>
    <row r="15" spans="1:16" ht="409.5">
      <c r="A15" s="50" t="s">
        <v>206</v>
      </c>
      <c r="B15" s="74" t="s">
        <v>131</v>
      </c>
      <c r="C15" s="74" t="s">
        <v>108</v>
      </c>
      <c r="D15" s="87" t="s">
        <v>207</v>
      </c>
      <c r="E15" s="55" t="s">
        <v>208</v>
      </c>
      <c r="F15" s="55" t="s">
        <v>209</v>
      </c>
      <c r="G15" s="88" t="s">
        <v>210</v>
      </c>
      <c r="H15" s="64" t="s">
        <v>116</v>
      </c>
      <c r="I15" s="55" t="s">
        <v>211</v>
      </c>
      <c r="J15" s="55" t="s">
        <v>185</v>
      </c>
      <c r="K15" s="66">
        <v>46054</v>
      </c>
      <c r="L15" s="65" t="s">
        <v>194</v>
      </c>
      <c r="M15" s="55" t="s">
        <v>203</v>
      </c>
      <c r="N15" s="55" t="s">
        <v>121</v>
      </c>
      <c r="O15" s="55" t="s">
        <v>122</v>
      </c>
      <c r="P15" s="55" t="s">
        <v>212</v>
      </c>
    </row>
    <row r="16" spans="1:16" ht="285">
      <c r="A16" s="76" t="s">
        <v>213</v>
      </c>
      <c r="B16" s="73" t="s">
        <v>131</v>
      </c>
      <c r="C16" s="89" t="s">
        <v>146</v>
      </c>
      <c r="D16" s="89" t="s">
        <v>214</v>
      </c>
      <c r="E16" s="73" t="s">
        <v>183</v>
      </c>
      <c r="F16" s="73" t="s">
        <v>215</v>
      </c>
      <c r="G16" s="32" t="s">
        <v>216</v>
      </c>
      <c r="H16" s="64" t="s">
        <v>217</v>
      </c>
      <c r="I16" s="73" t="s">
        <v>218</v>
      </c>
      <c r="J16" s="76" t="s">
        <v>219</v>
      </c>
      <c r="K16" s="84">
        <v>46054</v>
      </c>
      <c r="L16" s="66" t="s">
        <v>220</v>
      </c>
      <c r="M16" s="73" t="s">
        <v>221</v>
      </c>
      <c r="N16" s="76" t="s">
        <v>222</v>
      </c>
      <c r="O16" s="83" t="s">
        <v>122</v>
      </c>
      <c r="P16" s="76"/>
    </row>
    <row r="17" spans="1:16" ht="150">
      <c r="A17" s="74" t="s">
        <v>223</v>
      </c>
      <c r="B17" s="74" t="s">
        <v>111</v>
      </c>
      <c r="C17" s="55" t="s">
        <v>112</v>
      </c>
      <c r="D17" s="74" t="s">
        <v>224</v>
      </c>
      <c r="E17" s="55" t="s">
        <v>225</v>
      </c>
      <c r="F17" s="55" t="s">
        <v>226</v>
      </c>
      <c r="G17" s="32" t="s">
        <v>216</v>
      </c>
      <c r="H17" s="90" t="s">
        <v>127</v>
      </c>
      <c r="I17" s="90" t="s">
        <v>127</v>
      </c>
      <c r="J17" s="74" t="s">
        <v>227</v>
      </c>
      <c r="K17" s="92">
        <v>46174</v>
      </c>
      <c r="L17" s="92">
        <v>46813</v>
      </c>
      <c r="M17" s="85" t="s">
        <v>228</v>
      </c>
      <c r="N17" s="55" t="s">
        <v>121</v>
      </c>
      <c r="O17" s="85" t="s">
        <v>122</v>
      </c>
      <c r="P17" s="85"/>
    </row>
    <row r="18" spans="1:16" ht="150">
      <c r="A18" s="74" t="s">
        <v>229</v>
      </c>
      <c r="B18" s="74" t="s">
        <v>169</v>
      </c>
      <c r="C18" s="55" t="s">
        <v>112</v>
      </c>
      <c r="D18" s="74" t="s">
        <v>230</v>
      </c>
      <c r="E18" s="74" t="s">
        <v>231</v>
      </c>
      <c r="F18" s="74" t="s">
        <v>232</v>
      </c>
      <c r="G18" s="55" t="s">
        <v>233</v>
      </c>
      <c r="H18" s="55" t="s">
        <v>234</v>
      </c>
      <c r="I18" s="55" t="s">
        <v>235</v>
      </c>
      <c r="J18" s="74" t="s">
        <v>236</v>
      </c>
      <c r="K18" s="92">
        <v>45444</v>
      </c>
      <c r="L18" s="92">
        <v>46327</v>
      </c>
      <c r="M18" s="85" t="s">
        <v>228</v>
      </c>
      <c r="N18" s="74" t="s">
        <v>237</v>
      </c>
      <c r="O18" s="85" t="s">
        <v>122</v>
      </c>
      <c r="P18" s="85"/>
    </row>
    <row r="19" spans="1:16" ht="150">
      <c r="A19" s="100" t="s">
        <v>238</v>
      </c>
      <c r="B19" s="100" t="s">
        <v>111</v>
      </c>
      <c r="C19" s="100" t="s">
        <v>112</v>
      </c>
      <c r="D19" s="100" t="s">
        <v>239</v>
      </c>
      <c r="E19" s="100" t="s">
        <v>240</v>
      </c>
      <c r="F19" s="101" t="s">
        <v>127</v>
      </c>
      <c r="G19" s="102" t="s">
        <v>216</v>
      </c>
      <c r="H19" s="101" t="s">
        <v>127</v>
      </c>
      <c r="I19" s="100" t="s">
        <v>241</v>
      </c>
      <c r="J19" s="100" t="s">
        <v>242</v>
      </c>
      <c r="K19" s="103">
        <v>46082</v>
      </c>
      <c r="L19" s="103">
        <v>47121</v>
      </c>
      <c r="M19" s="104" t="s">
        <v>228</v>
      </c>
      <c r="N19" s="100" t="s">
        <v>121</v>
      </c>
      <c r="O19" s="104" t="s">
        <v>122</v>
      </c>
      <c r="P19" s="104"/>
    </row>
    <row r="20" spans="1:16" ht="165">
      <c r="A20" s="74" t="s">
        <v>243</v>
      </c>
      <c r="B20" s="74" t="s">
        <v>111</v>
      </c>
      <c r="C20" s="55" t="s">
        <v>112</v>
      </c>
      <c r="D20" s="74" t="s">
        <v>244</v>
      </c>
      <c r="E20" s="55" t="s">
        <v>245</v>
      </c>
      <c r="F20" s="90" t="s">
        <v>127</v>
      </c>
      <c r="G20" s="55" t="s">
        <v>246</v>
      </c>
      <c r="H20" s="90" t="s">
        <v>127</v>
      </c>
      <c r="I20" s="91" t="s">
        <v>216</v>
      </c>
      <c r="J20" s="74" t="s">
        <v>247</v>
      </c>
      <c r="K20" s="92">
        <v>46174</v>
      </c>
      <c r="L20" s="92">
        <v>46539</v>
      </c>
      <c r="M20" s="85" t="s">
        <v>228</v>
      </c>
      <c r="N20" s="55" t="s">
        <v>121</v>
      </c>
      <c r="O20" s="85" t="s">
        <v>122</v>
      </c>
      <c r="P20" s="85"/>
    </row>
    <row r="21" spans="1:16" ht="165">
      <c r="A21" s="55" t="s">
        <v>248</v>
      </c>
      <c r="B21" s="55" t="s">
        <v>111</v>
      </c>
      <c r="C21" s="56" t="s">
        <v>249</v>
      </c>
      <c r="D21" s="55" t="s">
        <v>250</v>
      </c>
      <c r="E21" s="78" t="s">
        <v>127</v>
      </c>
      <c r="F21" s="78" t="s">
        <v>127</v>
      </c>
      <c r="G21" s="78" t="s">
        <v>127</v>
      </c>
      <c r="H21" s="64" t="s">
        <v>128</v>
      </c>
      <c r="I21" s="90" t="s">
        <v>127</v>
      </c>
      <c r="J21" s="90" t="s">
        <v>127</v>
      </c>
      <c r="K21" s="66">
        <v>44835</v>
      </c>
      <c r="L21" s="66">
        <v>45930</v>
      </c>
      <c r="M21" s="55" t="s">
        <v>251</v>
      </c>
      <c r="N21" s="90" t="s">
        <v>127</v>
      </c>
      <c r="O21" s="55" t="s">
        <v>122</v>
      </c>
      <c r="P21" s="55"/>
    </row>
    <row r="22" spans="1:16">
      <c r="G22" s="29"/>
    </row>
    <row r="23" spans="1:16">
      <c r="G23" s="29"/>
    </row>
    <row r="24" spans="1:16">
      <c r="G24" s="29"/>
    </row>
    <row r="25" spans="1:16">
      <c r="G25" s="29"/>
    </row>
    <row r="26" spans="1:16">
      <c r="G26" s="29"/>
      <c r="J26" s="29"/>
    </row>
    <row r="27" spans="1:16">
      <c r="G27" s="29"/>
    </row>
    <row r="28" spans="1:16">
      <c r="G28" s="29"/>
    </row>
    <row r="29" spans="1:16">
      <c r="G29" s="29"/>
    </row>
    <row r="30" spans="1:16">
      <c r="G30" s="29"/>
    </row>
    <row r="31" spans="1:16">
      <c r="G31" s="29"/>
    </row>
    <row r="32" spans="1:16">
      <c r="G32" s="29"/>
    </row>
    <row r="33" spans="7:7">
      <c r="G33" s="29"/>
    </row>
    <row r="34" spans="7:7">
      <c r="G34" s="29"/>
    </row>
    <row r="35" spans="7:7">
      <c r="G35" s="29"/>
    </row>
    <row r="36" spans="7:7">
      <c r="G36" s="29"/>
    </row>
    <row r="37" spans="7:7">
      <c r="G37" s="29"/>
    </row>
    <row r="38" spans="7:7">
      <c r="G38" s="29"/>
    </row>
    <row r="39" spans="7:7">
      <c r="G39" s="29"/>
    </row>
    <row r="40" spans="7:7">
      <c r="G40" s="29"/>
    </row>
    <row r="41" spans="7:7">
      <c r="G41" s="29"/>
    </row>
    <row r="42" spans="7:7">
      <c r="G42" s="29"/>
    </row>
    <row r="43" spans="7:7">
      <c r="G43" s="29"/>
    </row>
    <row r="44" spans="7:7">
      <c r="G44" s="29"/>
    </row>
    <row r="45" spans="7:7">
      <c r="G45" s="29"/>
    </row>
    <row r="46" spans="7:7">
      <c r="G46" s="29"/>
    </row>
    <row r="47" spans="7:7">
      <c r="G47" s="29"/>
    </row>
    <row r="48" spans="7:7">
      <c r="G48" s="29"/>
    </row>
    <row r="49" spans="7:7">
      <c r="G49" s="29"/>
    </row>
    <row r="50" spans="7:7">
      <c r="G50" s="29"/>
    </row>
    <row r="51" spans="7:7">
      <c r="G51" s="29"/>
    </row>
    <row r="52" spans="7:7">
      <c r="G52" s="29"/>
    </row>
    <row r="53" spans="7:7">
      <c r="G53" s="29"/>
    </row>
    <row r="54" spans="7:7">
      <c r="G54" s="29"/>
    </row>
    <row r="55" spans="7:7">
      <c r="G55" s="29"/>
    </row>
    <row r="56" spans="7:7">
      <c r="G56" s="29"/>
    </row>
    <row r="57" spans="7:7">
      <c r="G57" s="29"/>
    </row>
    <row r="58" spans="7:7">
      <c r="G58" s="29"/>
    </row>
    <row r="59" spans="7:7">
      <c r="G59" s="29"/>
    </row>
    <row r="60" spans="7:7">
      <c r="G60" s="29"/>
    </row>
    <row r="61" spans="7:7">
      <c r="G61" s="29"/>
    </row>
    <row r="62" spans="7:7">
      <c r="G62" s="29"/>
    </row>
    <row r="63" spans="7:7">
      <c r="G63" s="29"/>
    </row>
    <row r="64" spans="7:7">
      <c r="G64" s="29"/>
    </row>
    <row r="65" spans="7:7">
      <c r="G65" s="29"/>
    </row>
    <row r="66" spans="7:7">
      <c r="G66" s="29"/>
    </row>
    <row r="67" spans="7:7">
      <c r="G67" s="29"/>
    </row>
    <row r="68" spans="7:7">
      <c r="G68" s="29"/>
    </row>
    <row r="69" spans="7:7">
      <c r="G69" s="29"/>
    </row>
    <row r="70" spans="7:7">
      <c r="G70" s="29"/>
    </row>
    <row r="71" spans="7:7">
      <c r="G71" s="29"/>
    </row>
    <row r="72" spans="7:7">
      <c r="G72" s="29"/>
    </row>
    <row r="73" spans="7:7">
      <c r="G73" s="29"/>
    </row>
    <row r="74" spans="7:7">
      <c r="G74" s="29"/>
    </row>
    <row r="75" spans="7:7">
      <c r="G75" s="29"/>
    </row>
    <row r="76" spans="7:7">
      <c r="G76" s="29"/>
    </row>
    <row r="77" spans="7:7">
      <c r="G77" s="29"/>
    </row>
    <row r="78" spans="7:7">
      <c r="G78" s="29"/>
    </row>
    <row r="79" spans="7:7">
      <c r="G79" s="29"/>
    </row>
    <row r="80" spans="7:7">
      <c r="G80" s="29"/>
    </row>
    <row r="81" spans="7:7">
      <c r="G81" s="29"/>
    </row>
    <row r="82" spans="7:7">
      <c r="G82" s="29"/>
    </row>
    <row r="83" spans="7:7">
      <c r="G83" s="29"/>
    </row>
    <row r="84" spans="7:7">
      <c r="G84" s="29"/>
    </row>
    <row r="85" spans="7:7">
      <c r="G85" s="29"/>
    </row>
    <row r="86" spans="7:7">
      <c r="G86" s="29"/>
    </row>
    <row r="87" spans="7:7">
      <c r="G87" s="29"/>
    </row>
    <row r="88" spans="7:7">
      <c r="G88" s="29"/>
    </row>
    <row r="89" spans="7:7">
      <c r="G89" s="29"/>
    </row>
    <row r="90" spans="7:7">
      <c r="G90" s="29"/>
    </row>
    <row r="91" spans="7:7">
      <c r="G91" s="29"/>
    </row>
    <row r="92" spans="7:7">
      <c r="G92" s="29"/>
    </row>
    <row r="93" spans="7:7">
      <c r="G93" s="29"/>
    </row>
    <row r="94" spans="7:7">
      <c r="G94" s="29"/>
    </row>
    <row r="95" spans="7:7">
      <c r="G95" s="29"/>
    </row>
    <row r="96" spans="7:7">
      <c r="G96" s="29"/>
    </row>
    <row r="97" spans="7:7">
      <c r="G97" s="29"/>
    </row>
    <row r="98" spans="7:7">
      <c r="G98" s="29"/>
    </row>
    <row r="99" spans="7:7">
      <c r="G99" s="29"/>
    </row>
    <row r="100" spans="7:7">
      <c r="G100" s="29"/>
    </row>
    <row r="101" spans="7:7">
      <c r="G101" s="29"/>
    </row>
    <row r="102" spans="7:7">
      <c r="G102" s="29"/>
    </row>
    <row r="103" spans="7:7">
      <c r="G103" s="29"/>
    </row>
    <row r="104" spans="7:7">
      <c r="G104" s="29"/>
    </row>
    <row r="105" spans="7:7">
      <c r="G105" s="29"/>
    </row>
    <row r="106" spans="7:7">
      <c r="G106" s="29"/>
    </row>
    <row r="107" spans="7:7">
      <c r="G107" s="29"/>
    </row>
    <row r="108" spans="7:7">
      <c r="G108" s="29"/>
    </row>
    <row r="109" spans="7:7">
      <c r="G109" s="29"/>
    </row>
    <row r="110" spans="7:7">
      <c r="G110" s="29"/>
    </row>
    <row r="111" spans="7:7">
      <c r="G111" s="29"/>
    </row>
    <row r="112" spans="7:7">
      <c r="G112" s="29"/>
    </row>
    <row r="113" spans="7:7">
      <c r="G113" s="29"/>
    </row>
    <row r="114" spans="7:7">
      <c r="G114" s="29"/>
    </row>
    <row r="115" spans="7:7">
      <c r="G115" s="29"/>
    </row>
    <row r="116" spans="7:7">
      <c r="G116" s="29"/>
    </row>
    <row r="117" spans="7:7">
      <c r="G117" s="29"/>
    </row>
    <row r="118" spans="7:7">
      <c r="G118" s="29"/>
    </row>
    <row r="119" spans="7:7">
      <c r="G119" s="29"/>
    </row>
    <row r="120" spans="7:7">
      <c r="G120" s="29"/>
    </row>
    <row r="121" spans="7:7">
      <c r="G121" s="29"/>
    </row>
    <row r="122" spans="7:7">
      <c r="G122" s="29"/>
    </row>
    <row r="123" spans="7:7">
      <c r="G123" s="29"/>
    </row>
    <row r="124" spans="7:7">
      <c r="G124" s="29"/>
    </row>
    <row r="125" spans="7:7">
      <c r="G125" s="29"/>
    </row>
    <row r="126" spans="7:7">
      <c r="G126" s="29"/>
    </row>
    <row r="127" spans="7:7">
      <c r="G127" s="29"/>
    </row>
    <row r="128" spans="7:7">
      <c r="G128" s="29"/>
    </row>
    <row r="129" spans="7:7">
      <c r="G129" s="29"/>
    </row>
    <row r="130" spans="7:7">
      <c r="G130" s="29"/>
    </row>
    <row r="131" spans="7:7">
      <c r="G131" s="29"/>
    </row>
    <row r="132" spans="7:7">
      <c r="G132" s="29"/>
    </row>
    <row r="133" spans="7:7">
      <c r="G133" s="29"/>
    </row>
    <row r="134" spans="7:7">
      <c r="G134" s="29"/>
    </row>
    <row r="135" spans="7:7">
      <c r="G135" s="29"/>
    </row>
    <row r="136" spans="7:7">
      <c r="G136" s="29"/>
    </row>
    <row r="137" spans="7:7">
      <c r="G137" s="29"/>
    </row>
    <row r="138" spans="7:7">
      <c r="G138" s="29"/>
    </row>
    <row r="139" spans="7:7">
      <c r="G139" s="29"/>
    </row>
    <row r="140" spans="7:7">
      <c r="G140" s="29"/>
    </row>
    <row r="141" spans="7:7">
      <c r="G141" s="29"/>
    </row>
    <row r="142" spans="7:7">
      <c r="G142" s="29"/>
    </row>
    <row r="143" spans="7:7">
      <c r="G143" s="29"/>
    </row>
    <row r="144" spans="7:7">
      <c r="G144" s="29"/>
    </row>
    <row r="145" spans="7:7">
      <c r="G145" s="29"/>
    </row>
    <row r="146" spans="7:7">
      <c r="G146" s="29"/>
    </row>
    <row r="147" spans="7:7">
      <c r="G147" s="29"/>
    </row>
    <row r="148" spans="7:7">
      <c r="G148" s="29"/>
    </row>
    <row r="149" spans="7:7">
      <c r="G149" s="29"/>
    </row>
    <row r="150" spans="7:7">
      <c r="G150" s="29"/>
    </row>
    <row r="151" spans="7:7">
      <c r="G151" s="29"/>
    </row>
    <row r="152" spans="7:7">
      <c r="G152" s="29"/>
    </row>
    <row r="153" spans="7:7">
      <c r="G153" s="29"/>
    </row>
    <row r="154" spans="7:7">
      <c r="G154" s="29"/>
    </row>
    <row r="155" spans="7:7">
      <c r="G155" s="29"/>
    </row>
    <row r="156" spans="7:7">
      <c r="G156" s="29"/>
    </row>
    <row r="157" spans="7:7">
      <c r="G157" s="29"/>
    </row>
    <row r="158" spans="7:7">
      <c r="G158" s="29"/>
    </row>
    <row r="159" spans="7:7">
      <c r="G159" s="29"/>
    </row>
    <row r="160" spans="7:7">
      <c r="G160" s="29"/>
    </row>
    <row r="161" spans="7:7">
      <c r="G161" s="29"/>
    </row>
    <row r="162" spans="7:7">
      <c r="G162" s="29"/>
    </row>
    <row r="163" spans="7:7">
      <c r="G163" s="29"/>
    </row>
    <row r="164" spans="7:7">
      <c r="G164" s="29"/>
    </row>
    <row r="165" spans="7:7">
      <c r="G165" s="29"/>
    </row>
    <row r="166" spans="7:7">
      <c r="G166" s="29"/>
    </row>
    <row r="167" spans="7:7">
      <c r="G167" s="29"/>
    </row>
    <row r="168" spans="7:7">
      <c r="G168" s="29"/>
    </row>
    <row r="169" spans="7:7">
      <c r="G169" s="29"/>
    </row>
    <row r="170" spans="7:7">
      <c r="G170" s="29"/>
    </row>
    <row r="171" spans="7:7">
      <c r="G171" s="29"/>
    </row>
    <row r="172" spans="7:7">
      <c r="G172" s="29"/>
    </row>
    <row r="173" spans="7:7">
      <c r="G173" s="29"/>
    </row>
    <row r="174" spans="7:7">
      <c r="G174" s="29"/>
    </row>
    <row r="175" spans="7:7">
      <c r="G175" s="29"/>
    </row>
    <row r="176" spans="7:7">
      <c r="G176" s="29"/>
    </row>
    <row r="177" spans="7:7">
      <c r="G177" s="29"/>
    </row>
    <row r="178" spans="7:7">
      <c r="G178" s="29"/>
    </row>
    <row r="179" spans="7:7">
      <c r="G179" s="29"/>
    </row>
    <row r="180" spans="7:7">
      <c r="G180" s="29"/>
    </row>
    <row r="181" spans="7:7">
      <c r="G181" s="29"/>
    </row>
    <row r="182" spans="7:7">
      <c r="G182" s="29"/>
    </row>
    <row r="183" spans="7:7">
      <c r="G183" s="29"/>
    </row>
    <row r="184" spans="7:7">
      <c r="G184" s="29"/>
    </row>
    <row r="185" spans="7:7">
      <c r="G185" s="29"/>
    </row>
    <row r="186" spans="7:7">
      <c r="G186" s="29"/>
    </row>
    <row r="187" spans="7:7">
      <c r="G187" s="29"/>
    </row>
    <row r="188" spans="7:7">
      <c r="G188" s="29"/>
    </row>
    <row r="189" spans="7:7">
      <c r="G189" s="29"/>
    </row>
    <row r="190" spans="7:7">
      <c r="G190" s="29"/>
    </row>
    <row r="191" spans="7:7">
      <c r="G191" s="29"/>
    </row>
    <row r="192" spans="7:7">
      <c r="G192" s="29"/>
    </row>
    <row r="193" spans="7:7">
      <c r="G193" s="29"/>
    </row>
    <row r="194" spans="7:7">
      <c r="G194" s="29"/>
    </row>
    <row r="195" spans="7:7">
      <c r="G195" s="29"/>
    </row>
    <row r="196" spans="7:7">
      <c r="G196" s="29"/>
    </row>
    <row r="197" spans="7:7">
      <c r="G197" s="29"/>
    </row>
    <row r="198" spans="7:7">
      <c r="G198" s="29"/>
    </row>
    <row r="199" spans="7:7">
      <c r="G199" s="29"/>
    </row>
    <row r="200" spans="7:7">
      <c r="G200" s="29"/>
    </row>
    <row r="201" spans="7:7">
      <c r="G201" s="29"/>
    </row>
    <row r="202" spans="7:7">
      <c r="G202" s="29"/>
    </row>
    <row r="203" spans="7:7">
      <c r="G203" s="29"/>
    </row>
    <row r="204" spans="7:7">
      <c r="G204" s="29"/>
    </row>
    <row r="205" spans="7:7">
      <c r="G205" s="29"/>
    </row>
    <row r="206" spans="7:7">
      <c r="G206" s="29"/>
    </row>
    <row r="207" spans="7:7">
      <c r="G207" s="29"/>
    </row>
    <row r="208" spans="7:7">
      <c r="G208" s="29"/>
    </row>
    <row r="209" spans="7:7">
      <c r="G209" s="29"/>
    </row>
    <row r="210" spans="7:7">
      <c r="G210" s="29"/>
    </row>
    <row r="211" spans="7:7">
      <c r="G211" s="29"/>
    </row>
    <row r="212" spans="7:7">
      <c r="G212" s="29"/>
    </row>
    <row r="213" spans="7:7">
      <c r="G213" s="29"/>
    </row>
    <row r="214" spans="7:7">
      <c r="G214" s="29"/>
    </row>
    <row r="215" spans="7:7">
      <c r="G215" s="29"/>
    </row>
    <row r="216" spans="7:7">
      <c r="G216" s="29"/>
    </row>
    <row r="217" spans="7:7">
      <c r="G217" s="29"/>
    </row>
    <row r="218" spans="7:7">
      <c r="G218" s="29"/>
    </row>
    <row r="219" spans="7:7">
      <c r="G219" s="29"/>
    </row>
    <row r="220" spans="7:7">
      <c r="G220" s="29"/>
    </row>
    <row r="221" spans="7:7">
      <c r="G221" s="29"/>
    </row>
    <row r="222" spans="7:7">
      <c r="G222" s="29"/>
    </row>
    <row r="223" spans="7:7">
      <c r="G223" s="29"/>
    </row>
    <row r="224" spans="7:7">
      <c r="G224" s="29"/>
    </row>
    <row r="225" spans="7:7">
      <c r="G225" s="29"/>
    </row>
    <row r="226" spans="7:7">
      <c r="G226" s="29"/>
    </row>
    <row r="227" spans="7:7">
      <c r="G227" s="29"/>
    </row>
    <row r="228" spans="7:7">
      <c r="G228" s="29"/>
    </row>
    <row r="229" spans="7:7">
      <c r="G229" s="29"/>
    </row>
    <row r="230" spans="7:7">
      <c r="G230" s="29"/>
    </row>
    <row r="231" spans="7:7">
      <c r="G231" s="29"/>
    </row>
    <row r="232" spans="7:7">
      <c r="G232" s="29"/>
    </row>
    <row r="233" spans="7:7">
      <c r="G233" s="29"/>
    </row>
    <row r="234" spans="7:7">
      <c r="G234" s="29"/>
    </row>
    <row r="235" spans="7:7">
      <c r="G235" s="29"/>
    </row>
    <row r="236" spans="7:7">
      <c r="G236" s="29"/>
    </row>
    <row r="237" spans="7:7">
      <c r="G237" s="29"/>
    </row>
    <row r="238" spans="7:7">
      <c r="G238" s="29"/>
    </row>
    <row r="239" spans="7:7">
      <c r="G239" s="29"/>
    </row>
    <row r="240" spans="7:7">
      <c r="G240" s="29"/>
    </row>
    <row r="241" spans="7:7">
      <c r="G241" s="29"/>
    </row>
    <row r="242" spans="7:7">
      <c r="G242" s="29"/>
    </row>
    <row r="243" spans="7:7">
      <c r="G243" s="29"/>
    </row>
    <row r="244" spans="7:7">
      <c r="G244" s="29"/>
    </row>
    <row r="245" spans="7:7">
      <c r="G245" s="29"/>
    </row>
    <row r="246" spans="7:7">
      <c r="G246" s="29"/>
    </row>
    <row r="247" spans="7:7">
      <c r="G247" s="29"/>
    </row>
    <row r="248" spans="7:7">
      <c r="G248" s="29"/>
    </row>
    <row r="249" spans="7:7">
      <c r="G249" s="29"/>
    </row>
    <row r="250" spans="7:7">
      <c r="G250" s="29"/>
    </row>
    <row r="251" spans="7:7">
      <c r="G251" s="29"/>
    </row>
    <row r="252" spans="7:7">
      <c r="G252" s="29"/>
    </row>
    <row r="253" spans="7:7">
      <c r="G253" s="29"/>
    </row>
    <row r="254" spans="7:7">
      <c r="G254" s="29"/>
    </row>
    <row r="255" spans="7:7">
      <c r="G255" s="29"/>
    </row>
    <row r="256" spans="7:7">
      <c r="G256" s="29"/>
    </row>
    <row r="257" spans="7:7">
      <c r="G257" s="29"/>
    </row>
    <row r="258" spans="7:7">
      <c r="G258" s="29"/>
    </row>
    <row r="259" spans="7:7">
      <c r="G259" s="29"/>
    </row>
    <row r="260" spans="7:7">
      <c r="G260" s="29"/>
    </row>
    <row r="261" spans="7:7">
      <c r="G261" s="29"/>
    </row>
    <row r="262" spans="7:7">
      <c r="G262" s="29"/>
    </row>
    <row r="263" spans="7:7">
      <c r="G263" s="29"/>
    </row>
    <row r="264" spans="7:7">
      <c r="G264" s="29"/>
    </row>
    <row r="265" spans="7:7">
      <c r="G265" s="29"/>
    </row>
    <row r="266" spans="7:7">
      <c r="G266" s="29"/>
    </row>
    <row r="267" spans="7:7">
      <c r="G267" s="29"/>
    </row>
    <row r="268" spans="7:7">
      <c r="G268" s="29"/>
    </row>
    <row r="269" spans="7:7">
      <c r="G269" s="29"/>
    </row>
    <row r="270" spans="7:7">
      <c r="G270" s="29"/>
    </row>
    <row r="271" spans="7:7">
      <c r="G271" s="29"/>
    </row>
    <row r="272" spans="7:7">
      <c r="G272" s="29"/>
    </row>
    <row r="273" spans="7:7">
      <c r="G273" s="29"/>
    </row>
    <row r="274" spans="7:7">
      <c r="G274" s="29"/>
    </row>
    <row r="275" spans="7:7">
      <c r="G275" s="29"/>
    </row>
    <row r="276" spans="7:7">
      <c r="G276" s="29"/>
    </row>
    <row r="277" spans="7:7">
      <c r="G277" s="29"/>
    </row>
    <row r="278" spans="7:7">
      <c r="G278" s="29"/>
    </row>
    <row r="279" spans="7:7">
      <c r="G279" s="29"/>
    </row>
    <row r="280" spans="7:7">
      <c r="G280" s="29"/>
    </row>
    <row r="281" spans="7:7">
      <c r="G281" s="29"/>
    </row>
    <row r="282" spans="7:7">
      <c r="G282" s="29"/>
    </row>
    <row r="283" spans="7:7">
      <c r="G283" s="29"/>
    </row>
    <row r="284" spans="7:7">
      <c r="G284" s="29"/>
    </row>
    <row r="285" spans="7:7">
      <c r="G285" s="29"/>
    </row>
    <row r="286" spans="7:7">
      <c r="G286" s="29"/>
    </row>
    <row r="287" spans="7:7">
      <c r="G287" s="29"/>
    </row>
    <row r="288" spans="7:7">
      <c r="G288" s="29"/>
    </row>
    <row r="289" spans="7:7">
      <c r="G289" s="29"/>
    </row>
    <row r="290" spans="7:7">
      <c r="G290" s="29"/>
    </row>
    <row r="291" spans="7:7">
      <c r="G291" s="29"/>
    </row>
    <row r="292" spans="7:7">
      <c r="G292" s="29"/>
    </row>
    <row r="293" spans="7:7">
      <c r="G293" s="29"/>
    </row>
    <row r="294" spans="7:7">
      <c r="G294" s="29"/>
    </row>
    <row r="295" spans="7:7">
      <c r="G295" s="29"/>
    </row>
    <row r="296" spans="7:7">
      <c r="G296" s="29"/>
    </row>
    <row r="297" spans="7:7">
      <c r="G297" s="29"/>
    </row>
    <row r="298" spans="7:7">
      <c r="G298" s="29"/>
    </row>
    <row r="299" spans="7:7">
      <c r="G299" s="29"/>
    </row>
    <row r="300" spans="7:7">
      <c r="G300" s="29"/>
    </row>
    <row r="301" spans="7:7">
      <c r="G301" s="29"/>
    </row>
    <row r="302" spans="7:7">
      <c r="G302" s="29"/>
    </row>
    <row r="303" spans="7:7">
      <c r="G303" s="29"/>
    </row>
    <row r="304" spans="7:7">
      <c r="G304" s="29"/>
    </row>
    <row r="305" spans="7:7">
      <c r="G305" s="29"/>
    </row>
    <row r="306" spans="7:7">
      <c r="G306" s="29"/>
    </row>
    <row r="307" spans="7:7">
      <c r="G307" s="29"/>
    </row>
    <row r="308" spans="7:7">
      <c r="G308" s="29"/>
    </row>
    <row r="309" spans="7:7">
      <c r="G309" s="29"/>
    </row>
    <row r="310" spans="7:7">
      <c r="G310" s="29"/>
    </row>
    <row r="311" spans="7:7">
      <c r="G311" s="29"/>
    </row>
    <row r="312" spans="7:7">
      <c r="G312" s="29"/>
    </row>
    <row r="313" spans="7:7">
      <c r="G313" s="29"/>
    </row>
    <row r="314" spans="7:7">
      <c r="G314" s="29"/>
    </row>
    <row r="315" spans="7:7">
      <c r="G315" s="29"/>
    </row>
    <row r="316" spans="7:7">
      <c r="G316" s="29"/>
    </row>
    <row r="317" spans="7:7">
      <c r="G317" s="29"/>
    </row>
    <row r="318" spans="7:7">
      <c r="G318" s="29"/>
    </row>
    <row r="319" spans="7:7">
      <c r="G319" s="29"/>
    </row>
    <row r="320" spans="7:7">
      <c r="G320" s="29"/>
    </row>
    <row r="321" spans="7:7">
      <c r="G321" s="29"/>
    </row>
    <row r="322" spans="7:7">
      <c r="G322" s="29"/>
    </row>
    <row r="323" spans="7:7">
      <c r="G323" s="29"/>
    </row>
    <row r="324" spans="7:7">
      <c r="G324" s="29"/>
    </row>
    <row r="325" spans="7:7">
      <c r="G325" s="29"/>
    </row>
    <row r="326" spans="7:7">
      <c r="G326" s="29"/>
    </row>
    <row r="327" spans="7:7">
      <c r="G327" s="29"/>
    </row>
    <row r="328" spans="7:7">
      <c r="G328" s="29"/>
    </row>
    <row r="329" spans="7:7">
      <c r="G329" s="29"/>
    </row>
    <row r="330" spans="7:7">
      <c r="G330" s="29"/>
    </row>
    <row r="331" spans="7:7">
      <c r="G331" s="29"/>
    </row>
    <row r="332" spans="7:7">
      <c r="G332" s="29"/>
    </row>
    <row r="333" spans="7:7">
      <c r="G333" s="29"/>
    </row>
    <row r="334" spans="7:7">
      <c r="G334" s="29"/>
    </row>
    <row r="335" spans="7:7">
      <c r="G335" s="29"/>
    </row>
    <row r="336" spans="7:7">
      <c r="G336" s="29"/>
    </row>
    <row r="337" spans="7:7">
      <c r="G337" s="29"/>
    </row>
    <row r="338" spans="7:7">
      <c r="G338" s="29"/>
    </row>
    <row r="339" spans="7:7">
      <c r="G339" s="29"/>
    </row>
    <row r="340" spans="7:7">
      <c r="G340" s="29"/>
    </row>
    <row r="341" spans="7:7">
      <c r="G341" s="29"/>
    </row>
    <row r="342" spans="7:7">
      <c r="G342" s="29"/>
    </row>
    <row r="343" spans="7:7">
      <c r="G343" s="29"/>
    </row>
    <row r="344" spans="7:7">
      <c r="G344" s="29"/>
    </row>
    <row r="345" spans="7:7">
      <c r="G345" s="29"/>
    </row>
    <row r="346" spans="7:7">
      <c r="G346" s="29"/>
    </row>
    <row r="347" spans="7:7">
      <c r="G347" s="29"/>
    </row>
    <row r="348" spans="7:7">
      <c r="G348" s="29"/>
    </row>
    <row r="349" spans="7:7">
      <c r="G349" s="29"/>
    </row>
    <row r="350" spans="7:7">
      <c r="G350" s="29"/>
    </row>
    <row r="351" spans="7:7">
      <c r="G351" s="29"/>
    </row>
    <row r="352" spans="7:7">
      <c r="G352" s="29"/>
    </row>
    <row r="353" spans="7:7">
      <c r="G353" s="29"/>
    </row>
    <row r="354" spans="7:7">
      <c r="G354" s="29"/>
    </row>
    <row r="355" spans="7:7">
      <c r="G355" s="29"/>
    </row>
    <row r="356" spans="7:7">
      <c r="G356" s="29"/>
    </row>
    <row r="357" spans="7:7">
      <c r="G357" s="29"/>
    </row>
    <row r="358" spans="7:7">
      <c r="G358" s="29"/>
    </row>
    <row r="359" spans="7:7">
      <c r="G359" s="29"/>
    </row>
    <row r="360" spans="7:7">
      <c r="G360" s="29"/>
    </row>
    <row r="361" spans="7:7">
      <c r="G361" s="29"/>
    </row>
    <row r="362" spans="7:7">
      <c r="G362" s="29"/>
    </row>
    <row r="363" spans="7:7">
      <c r="G363" s="29"/>
    </row>
    <row r="364" spans="7:7">
      <c r="G364" s="29"/>
    </row>
    <row r="365" spans="7:7">
      <c r="G365" s="29"/>
    </row>
    <row r="366" spans="7:7">
      <c r="G366" s="29"/>
    </row>
    <row r="367" spans="7:7">
      <c r="G367" s="29"/>
    </row>
    <row r="368" spans="7:7">
      <c r="G368" s="29"/>
    </row>
    <row r="369" spans="7:7">
      <c r="G369" s="29"/>
    </row>
    <row r="370" spans="7:7">
      <c r="G370" s="29"/>
    </row>
    <row r="371" spans="7:7">
      <c r="G371" s="29"/>
    </row>
    <row r="372" spans="7:7">
      <c r="G372" s="29"/>
    </row>
    <row r="373" spans="7:7">
      <c r="G373" s="29"/>
    </row>
    <row r="374" spans="7:7">
      <c r="G374" s="29"/>
    </row>
    <row r="375" spans="7:7">
      <c r="G375" s="29"/>
    </row>
    <row r="376" spans="7:7">
      <c r="G376" s="29"/>
    </row>
    <row r="377" spans="7:7">
      <c r="G377" s="29"/>
    </row>
    <row r="378" spans="7:7">
      <c r="G378" s="29"/>
    </row>
    <row r="379" spans="7:7">
      <c r="G379" s="29"/>
    </row>
    <row r="380" spans="7:7">
      <c r="G380" s="29"/>
    </row>
    <row r="381" spans="7:7">
      <c r="G381" s="29"/>
    </row>
    <row r="382" spans="7:7">
      <c r="G382" s="29"/>
    </row>
    <row r="383" spans="7:7">
      <c r="G383" s="29"/>
    </row>
    <row r="384" spans="7:7">
      <c r="G384" s="29"/>
    </row>
    <row r="385" spans="7:7">
      <c r="G385" s="29"/>
    </row>
    <row r="386" spans="7:7">
      <c r="G386" s="29"/>
    </row>
    <row r="387" spans="7:7">
      <c r="G387" s="29"/>
    </row>
    <row r="388" spans="7:7">
      <c r="G388" s="29"/>
    </row>
    <row r="389" spans="7:7">
      <c r="G389" s="29"/>
    </row>
    <row r="390" spans="7:7">
      <c r="G390" s="29"/>
    </row>
    <row r="391" spans="7:7">
      <c r="G391" s="29"/>
    </row>
    <row r="392" spans="7:7">
      <c r="G392" s="29"/>
    </row>
    <row r="393" spans="7:7">
      <c r="G393" s="29"/>
    </row>
    <row r="394" spans="7:7">
      <c r="G394" s="29"/>
    </row>
    <row r="395" spans="7:7">
      <c r="G395" s="29"/>
    </row>
    <row r="396" spans="7:7">
      <c r="G396" s="29"/>
    </row>
    <row r="397" spans="7:7">
      <c r="G397" s="29"/>
    </row>
    <row r="398" spans="7:7">
      <c r="G398" s="29"/>
    </row>
    <row r="399" spans="7:7">
      <c r="G399" s="29"/>
    </row>
    <row r="400" spans="7:7">
      <c r="G400" s="29"/>
    </row>
    <row r="401" spans="7:7">
      <c r="G401" s="29"/>
    </row>
    <row r="402" spans="7:7">
      <c r="G402" s="29"/>
    </row>
    <row r="403" spans="7:7">
      <c r="G403" s="29"/>
    </row>
    <row r="404" spans="7:7">
      <c r="G404" s="29"/>
    </row>
    <row r="405" spans="7:7">
      <c r="G405" s="29"/>
    </row>
    <row r="406" spans="7:7">
      <c r="G406" s="29"/>
    </row>
    <row r="407" spans="7:7">
      <c r="G407" s="29"/>
    </row>
    <row r="408" spans="7:7">
      <c r="G408" s="29"/>
    </row>
    <row r="409" spans="7:7">
      <c r="G409" s="29"/>
    </row>
    <row r="410" spans="7:7">
      <c r="G410" s="29"/>
    </row>
    <row r="411" spans="7:7">
      <c r="G411" s="29"/>
    </row>
    <row r="412" spans="7:7">
      <c r="G412" s="29"/>
    </row>
    <row r="413" spans="7:7">
      <c r="G413" s="29"/>
    </row>
    <row r="414" spans="7:7">
      <c r="G414" s="29"/>
    </row>
    <row r="415" spans="7:7">
      <c r="G415" s="29"/>
    </row>
    <row r="416" spans="7:7">
      <c r="G416" s="29"/>
    </row>
    <row r="417" spans="7:7">
      <c r="G417" s="29"/>
    </row>
    <row r="418" spans="7:7">
      <c r="G418" s="29"/>
    </row>
    <row r="419" spans="7:7">
      <c r="G419" s="29"/>
    </row>
    <row r="420" spans="7:7">
      <c r="G420" s="29"/>
    </row>
    <row r="421" spans="7:7">
      <c r="G421" s="29"/>
    </row>
    <row r="422" spans="7:7">
      <c r="G422" s="29"/>
    </row>
    <row r="423" spans="7:7">
      <c r="G423" s="29"/>
    </row>
    <row r="424" spans="7:7">
      <c r="G424" s="29"/>
    </row>
    <row r="425" spans="7:7">
      <c r="G425" s="29"/>
    </row>
    <row r="426" spans="7:7">
      <c r="G426" s="29"/>
    </row>
    <row r="427" spans="7:7">
      <c r="G427" s="29"/>
    </row>
    <row r="428" spans="7:7">
      <c r="G428" s="29"/>
    </row>
    <row r="429" spans="7:7">
      <c r="G429" s="29"/>
    </row>
    <row r="430" spans="7:7">
      <c r="G430" s="29"/>
    </row>
    <row r="431" spans="7:7">
      <c r="G431" s="29"/>
    </row>
    <row r="432" spans="7:7">
      <c r="G432" s="29"/>
    </row>
    <row r="433" spans="7:7">
      <c r="G433" s="29"/>
    </row>
    <row r="434" spans="7:7">
      <c r="G434" s="29"/>
    </row>
    <row r="435" spans="7:7">
      <c r="G435" s="29"/>
    </row>
    <row r="436" spans="7:7">
      <c r="G436" s="29"/>
    </row>
    <row r="437" spans="7:7">
      <c r="G437" s="29"/>
    </row>
    <row r="438" spans="7:7">
      <c r="G438" s="29"/>
    </row>
    <row r="439" spans="7:7">
      <c r="G439" s="29"/>
    </row>
    <row r="440" spans="7:7">
      <c r="G440" s="29"/>
    </row>
    <row r="441" spans="7:7">
      <c r="G441" s="29"/>
    </row>
    <row r="442" spans="7:7">
      <c r="G442" s="29"/>
    </row>
    <row r="443" spans="7:7">
      <c r="G443" s="29"/>
    </row>
    <row r="444" spans="7:7">
      <c r="G444" s="29"/>
    </row>
    <row r="445" spans="7:7">
      <c r="G445" s="29"/>
    </row>
    <row r="446" spans="7:7">
      <c r="G446" s="29"/>
    </row>
    <row r="447" spans="7:7">
      <c r="G447" s="29"/>
    </row>
    <row r="448" spans="7:7">
      <c r="G448" s="29"/>
    </row>
    <row r="449" spans="7:7">
      <c r="G449" s="29"/>
    </row>
    <row r="450" spans="7:7">
      <c r="G450" s="29"/>
    </row>
    <row r="451" spans="7:7">
      <c r="G451" s="29"/>
    </row>
    <row r="452" spans="7:7">
      <c r="G452" s="29"/>
    </row>
    <row r="453" spans="7:7">
      <c r="G453" s="29"/>
    </row>
    <row r="454" spans="7:7">
      <c r="G454" s="29"/>
    </row>
    <row r="455" spans="7:7">
      <c r="G455" s="29"/>
    </row>
    <row r="456" spans="7:7">
      <c r="G456" s="29"/>
    </row>
    <row r="457" spans="7:7">
      <c r="G457" s="29"/>
    </row>
    <row r="458" spans="7:7">
      <c r="G458" s="29"/>
    </row>
    <row r="459" spans="7:7">
      <c r="G459" s="29"/>
    </row>
    <row r="460" spans="7:7">
      <c r="G460" s="29"/>
    </row>
    <row r="461" spans="7:7">
      <c r="G461" s="29"/>
    </row>
    <row r="462" spans="7:7">
      <c r="G462" s="29"/>
    </row>
    <row r="463" spans="7:7">
      <c r="G463" s="29"/>
    </row>
    <row r="464" spans="7:7">
      <c r="G464" s="29"/>
    </row>
    <row r="465" spans="7:7">
      <c r="G465" s="29"/>
    </row>
    <row r="466" spans="7:7">
      <c r="G466" s="29"/>
    </row>
    <row r="467" spans="7:7">
      <c r="G467" s="29"/>
    </row>
    <row r="468" spans="7:7">
      <c r="G468" s="29"/>
    </row>
    <row r="469" spans="7:7">
      <c r="G469" s="29"/>
    </row>
    <row r="470" spans="7:7">
      <c r="G470" s="29"/>
    </row>
    <row r="471" spans="7:7">
      <c r="G471" s="29"/>
    </row>
    <row r="472" spans="7:7">
      <c r="G472" s="29"/>
    </row>
    <row r="473" spans="7:7">
      <c r="G473" s="29"/>
    </row>
    <row r="474" spans="7:7">
      <c r="G474" s="29"/>
    </row>
    <row r="475" spans="7:7">
      <c r="G475" s="29"/>
    </row>
    <row r="476" spans="7:7">
      <c r="G476" s="29"/>
    </row>
    <row r="477" spans="7:7">
      <c r="G477" s="29"/>
    </row>
    <row r="478" spans="7:7">
      <c r="G478" s="29"/>
    </row>
    <row r="479" spans="7:7">
      <c r="G479" s="29"/>
    </row>
    <row r="480" spans="7:7">
      <c r="G480" s="29"/>
    </row>
    <row r="481" spans="7:7">
      <c r="G481" s="29"/>
    </row>
    <row r="482" spans="7:7">
      <c r="G482" s="29"/>
    </row>
    <row r="483" spans="7:7">
      <c r="G483" s="29"/>
    </row>
    <row r="484" spans="7:7">
      <c r="G484" s="29"/>
    </row>
    <row r="485" spans="7:7">
      <c r="G485" s="29"/>
    </row>
    <row r="486" spans="7:7">
      <c r="G486" s="29"/>
    </row>
    <row r="487" spans="7:7">
      <c r="G487" s="29"/>
    </row>
    <row r="488" spans="7:7">
      <c r="G488" s="29"/>
    </row>
    <row r="489" spans="7:7">
      <c r="G489" s="29"/>
    </row>
    <row r="490" spans="7:7">
      <c r="G490" s="29"/>
    </row>
    <row r="491" spans="7:7">
      <c r="G491" s="29"/>
    </row>
    <row r="492" spans="7:7">
      <c r="G492" s="29"/>
    </row>
    <row r="493" spans="7:7">
      <c r="G493" s="29"/>
    </row>
    <row r="494" spans="7:7">
      <c r="G494" s="29"/>
    </row>
    <row r="495" spans="7:7">
      <c r="G495" s="29"/>
    </row>
    <row r="496" spans="7:7">
      <c r="G496" s="29"/>
    </row>
    <row r="497" spans="7:7">
      <c r="G497" s="29"/>
    </row>
    <row r="498" spans="7:7">
      <c r="G498" s="29"/>
    </row>
    <row r="499" spans="7:7">
      <c r="G499" s="29"/>
    </row>
    <row r="500" spans="7:7">
      <c r="G500" s="29"/>
    </row>
    <row r="501" spans="7:7">
      <c r="G501" s="29"/>
    </row>
    <row r="502" spans="7:7">
      <c r="G502" s="29"/>
    </row>
    <row r="503" spans="7:7">
      <c r="G503" s="29"/>
    </row>
    <row r="504" spans="7:7">
      <c r="G504" s="29"/>
    </row>
    <row r="505" spans="7:7">
      <c r="G505" s="29"/>
    </row>
    <row r="506" spans="7:7">
      <c r="G506" s="29"/>
    </row>
    <row r="507" spans="7:7">
      <c r="G507" s="29"/>
    </row>
    <row r="508" spans="7:7">
      <c r="G508" s="29"/>
    </row>
    <row r="509" spans="7:7">
      <c r="G509" s="29"/>
    </row>
    <row r="510" spans="7:7">
      <c r="G510" s="29"/>
    </row>
    <row r="511" spans="7:7">
      <c r="G511" s="29"/>
    </row>
    <row r="512" spans="7:7">
      <c r="G512" s="29"/>
    </row>
    <row r="513" spans="7:7">
      <c r="G513" s="29"/>
    </row>
    <row r="514" spans="7:7">
      <c r="G514" s="29"/>
    </row>
    <row r="515" spans="7:7">
      <c r="G515" s="29"/>
    </row>
    <row r="516" spans="7:7">
      <c r="G516" s="29"/>
    </row>
    <row r="517" spans="7:7">
      <c r="G517" s="29"/>
    </row>
    <row r="518" spans="7:7">
      <c r="G518" s="29"/>
    </row>
    <row r="519" spans="7:7">
      <c r="G519" s="29"/>
    </row>
    <row r="520" spans="7:7">
      <c r="G520" s="29"/>
    </row>
    <row r="521" spans="7:7">
      <c r="G521" s="29"/>
    </row>
    <row r="522" spans="7:7">
      <c r="G522" s="29"/>
    </row>
    <row r="523" spans="7:7">
      <c r="G523" s="29"/>
    </row>
    <row r="524" spans="7:7">
      <c r="G524" s="29"/>
    </row>
    <row r="525" spans="7:7">
      <c r="G525" s="29"/>
    </row>
    <row r="526" spans="7:7">
      <c r="G526" s="29"/>
    </row>
    <row r="527" spans="7:7">
      <c r="G527" s="29"/>
    </row>
    <row r="528" spans="7:7">
      <c r="G528" s="29"/>
    </row>
    <row r="529" spans="7:7">
      <c r="G529" s="29"/>
    </row>
    <row r="530" spans="7:7">
      <c r="G530" s="29"/>
    </row>
    <row r="531" spans="7:7">
      <c r="G531" s="29"/>
    </row>
    <row r="532" spans="7:7">
      <c r="G532" s="29"/>
    </row>
    <row r="533" spans="7:7">
      <c r="G533" s="29"/>
    </row>
    <row r="534" spans="7:7">
      <c r="G534" s="29"/>
    </row>
    <row r="535" spans="7:7">
      <c r="G535" s="29"/>
    </row>
    <row r="536" spans="7:7">
      <c r="G536" s="29"/>
    </row>
    <row r="537" spans="7:7">
      <c r="G537" s="29"/>
    </row>
    <row r="538" spans="7:7">
      <c r="G538" s="29"/>
    </row>
    <row r="539" spans="7:7">
      <c r="G539" s="29"/>
    </row>
    <row r="540" spans="7:7">
      <c r="G540" s="29"/>
    </row>
    <row r="541" spans="7:7">
      <c r="G541" s="29"/>
    </row>
    <row r="542" spans="7:7">
      <c r="G542" s="29"/>
    </row>
    <row r="543" spans="7:7">
      <c r="G543" s="29"/>
    </row>
    <row r="544" spans="7:7">
      <c r="G544" s="29"/>
    </row>
    <row r="545" spans="7:7">
      <c r="G545" s="29"/>
    </row>
    <row r="546" spans="7:7">
      <c r="G546" s="29"/>
    </row>
    <row r="547" spans="7:7">
      <c r="G547" s="29"/>
    </row>
    <row r="548" spans="7:7">
      <c r="G548" s="29"/>
    </row>
    <row r="549" spans="7:7">
      <c r="G549" s="29"/>
    </row>
    <row r="550" spans="7:7">
      <c r="G550" s="29"/>
    </row>
    <row r="551" spans="7:7">
      <c r="G551" s="29"/>
    </row>
    <row r="552" spans="7:7">
      <c r="G552" s="29"/>
    </row>
    <row r="553" spans="7:7">
      <c r="G553" s="29"/>
    </row>
    <row r="554" spans="7:7">
      <c r="G554" s="29"/>
    </row>
    <row r="555" spans="7:7">
      <c r="G555" s="29"/>
    </row>
    <row r="556" spans="7:7">
      <c r="G556" s="29"/>
    </row>
    <row r="557" spans="7:7">
      <c r="G557" s="29"/>
    </row>
    <row r="558" spans="7:7">
      <c r="G558" s="29"/>
    </row>
    <row r="559" spans="7:7">
      <c r="G559" s="29"/>
    </row>
    <row r="560" spans="7:7">
      <c r="G560" s="29"/>
    </row>
    <row r="561" spans="7:7">
      <c r="G561" s="29"/>
    </row>
    <row r="562" spans="7:7">
      <c r="G562" s="29"/>
    </row>
    <row r="563" spans="7:7">
      <c r="G563" s="29"/>
    </row>
    <row r="564" spans="7:7">
      <c r="G564" s="29"/>
    </row>
    <row r="565" spans="7:7">
      <c r="G565" s="29"/>
    </row>
    <row r="566" spans="7:7">
      <c r="G566" s="29"/>
    </row>
    <row r="567" spans="7:7">
      <c r="G567" s="29"/>
    </row>
    <row r="568" spans="7:7">
      <c r="G568" s="29"/>
    </row>
    <row r="569" spans="7:7">
      <c r="G569" s="29"/>
    </row>
    <row r="570" spans="7:7">
      <c r="G570" s="29"/>
    </row>
    <row r="571" spans="7:7">
      <c r="G571" s="29"/>
    </row>
    <row r="572" spans="7:7">
      <c r="G572" s="29"/>
    </row>
    <row r="573" spans="7:7">
      <c r="G573" s="29"/>
    </row>
    <row r="574" spans="7:7">
      <c r="G574" s="29"/>
    </row>
    <row r="575" spans="7:7">
      <c r="G575" s="29"/>
    </row>
    <row r="576" spans="7:7">
      <c r="G576" s="29"/>
    </row>
    <row r="577" spans="7:7">
      <c r="G577" s="29"/>
    </row>
    <row r="578" spans="7:7">
      <c r="G578" s="29"/>
    </row>
    <row r="579" spans="7:7">
      <c r="G579" s="29"/>
    </row>
    <row r="580" spans="7:7">
      <c r="G580" s="29"/>
    </row>
    <row r="581" spans="7:7">
      <c r="G581" s="29"/>
    </row>
    <row r="582" spans="7:7">
      <c r="G582" s="29"/>
    </row>
    <row r="583" spans="7:7">
      <c r="G583" s="29"/>
    </row>
    <row r="584" spans="7:7">
      <c r="G584" s="29"/>
    </row>
    <row r="585" spans="7:7">
      <c r="G585" s="29"/>
    </row>
    <row r="586" spans="7:7">
      <c r="G586" s="29"/>
    </row>
    <row r="587" spans="7:7">
      <c r="G587" s="29"/>
    </row>
    <row r="588" spans="7:7">
      <c r="G588" s="29"/>
    </row>
    <row r="589" spans="7:7">
      <c r="G589" s="29"/>
    </row>
    <row r="590" spans="7:7">
      <c r="G590" s="29"/>
    </row>
    <row r="591" spans="7:7">
      <c r="G591" s="29"/>
    </row>
    <row r="592" spans="7:7">
      <c r="G592" s="29"/>
    </row>
    <row r="593" spans="7:7">
      <c r="G593" s="29"/>
    </row>
    <row r="594" spans="7:7">
      <c r="G594" s="29"/>
    </row>
    <row r="595" spans="7:7">
      <c r="G595" s="29"/>
    </row>
    <row r="596" spans="7:7">
      <c r="G596" s="29"/>
    </row>
    <row r="597" spans="7:7">
      <c r="G597" s="29"/>
    </row>
    <row r="598" spans="7:7">
      <c r="G598" s="29"/>
    </row>
    <row r="599" spans="7:7">
      <c r="G599" s="29"/>
    </row>
    <row r="600" spans="7:7">
      <c r="G600" s="29"/>
    </row>
    <row r="601" spans="7:7">
      <c r="G601" s="29"/>
    </row>
    <row r="602" spans="7:7">
      <c r="G602" s="29"/>
    </row>
    <row r="603" spans="7:7">
      <c r="G603" s="29"/>
    </row>
    <row r="604" spans="7:7">
      <c r="G604" s="29"/>
    </row>
    <row r="605" spans="7:7">
      <c r="G605" s="29"/>
    </row>
    <row r="606" spans="7:7">
      <c r="G606" s="29"/>
    </row>
    <row r="607" spans="7:7">
      <c r="G607" s="29"/>
    </row>
    <row r="608" spans="7:7">
      <c r="G608" s="29"/>
    </row>
    <row r="609" spans="7:7">
      <c r="G609" s="29"/>
    </row>
    <row r="610" spans="7:7">
      <c r="G610" s="29"/>
    </row>
    <row r="611" spans="7:7">
      <c r="G611" s="29"/>
    </row>
    <row r="612" spans="7:7">
      <c r="G612" s="29"/>
    </row>
    <row r="613" spans="7:7">
      <c r="G613" s="29"/>
    </row>
    <row r="614" spans="7:7">
      <c r="G614" s="29"/>
    </row>
    <row r="615" spans="7:7">
      <c r="G615" s="29"/>
    </row>
    <row r="616" spans="7:7">
      <c r="G616" s="29"/>
    </row>
    <row r="617" spans="7:7">
      <c r="G617" s="29"/>
    </row>
    <row r="618" spans="7:7">
      <c r="G618" s="29"/>
    </row>
    <row r="619" spans="7:7">
      <c r="G619" s="29"/>
    </row>
    <row r="620" spans="7:7">
      <c r="G620" s="29"/>
    </row>
    <row r="621" spans="7:7">
      <c r="G621" s="29"/>
    </row>
    <row r="622" spans="7:7">
      <c r="G622" s="29"/>
    </row>
    <row r="623" spans="7:7">
      <c r="G623" s="29"/>
    </row>
    <row r="624" spans="7:7">
      <c r="G624" s="29"/>
    </row>
    <row r="625" spans="7:7">
      <c r="G625" s="29"/>
    </row>
    <row r="626" spans="7:7">
      <c r="G626" s="29"/>
    </row>
    <row r="627" spans="7:7">
      <c r="G627" s="29"/>
    </row>
    <row r="628" spans="7:7">
      <c r="G628" s="29"/>
    </row>
    <row r="629" spans="7:7">
      <c r="G629" s="29"/>
    </row>
    <row r="630" spans="7:7">
      <c r="G630" s="29"/>
    </row>
    <row r="631" spans="7:7">
      <c r="G631" s="29"/>
    </row>
    <row r="632" spans="7:7">
      <c r="G632" s="29"/>
    </row>
    <row r="633" spans="7:7">
      <c r="G633" s="29"/>
    </row>
    <row r="634" spans="7:7">
      <c r="G634" s="29"/>
    </row>
    <row r="635" spans="7:7">
      <c r="G635" s="29"/>
    </row>
    <row r="636" spans="7:7">
      <c r="G636" s="29"/>
    </row>
    <row r="637" spans="7:7">
      <c r="G637" s="29"/>
    </row>
  </sheetData>
  <dataValidations count="5">
    <dataValidation allowBlank="1" showInputMessage="1" showErrorMessage="1" sqref="B1:C1 B2 F20:H20 G1:G2 H1:H10 E21:J21 J7:J9 J11 J1:J4 N1:P2 P3 G4:G12 G14:G15 G18 H17 I1:I12 I13:J20 H19 E13:E20 F13:F19 D1:F12 D13:D21 O4:P12 K13:P21 K1:M12 A1:A12 A13:B21 B4:B12" xr:uid="{6FF9FDFE-57E4-4B40-95BF-0313A0EA7D2C}"/>
    <dataValidation type="list" allowBlank="1" showInputMessage="1" showErrorMessage="1" sqref="C2 C8 C4:C5 C13:C20 B3:B12 B13:B21" xr:uid="{91FF061A-2213-48D2-8233-26D4BFB9C6FE}">
      <formula1>"Statewide,Hospital,Regional"</formula1>
    </dataValidation>
    <dataValidation type="list" allowBlank="1" showInputMessage="1" showErrorMessage="1" sqref="C14:C21 C3:C12" xr:uid="{90DF17D2-D8CD-4100-83C7-0D8AB80ED8A1}">
      <formula1>"Clinical Service Redesign,Transfers and Transport,Shared Purchasing,Information Technology,Workforce,Other"</formula1>
    </dataValidation>
    <dataValidation type="list" allowBlank="1" showInputMessage="1" showErrorMessage="1" sqref="H18 H21 H3:H12 H13:H16" xr:uid="{3BBC7334-3322-4D53-A3FA-989E53A007D5}">
      <formula1>"Business Case,Invoice costs,Staff costs,Vendor quote,Other"</formula1>
    </dataValidation>
    <dataValidation type="list" allowBlank="1" showInputMessage="1" showErrorMessage="1" sqref="O14:O21 O3:O12" xr:uid="{50B79A54-D35A-4F99-89F8-C7403B2AA0C2}">
      <formula1>"Yes,No"</formula1>
    </dataValidation>
  </dataValidations>
  <pageMargins left="0.7" right="0.7" top="0.75" bottom="0.75" header="0.3" footer="0.3"/>
  <pageSetup orientation="portrait"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9"/>
  <sheetViews>
    <sheetView zoomScaleNormal="100" workbookViewId="0">
      <selection activeCell="F12" sqref="F12"/>
    </sheetView>
  </sheetViews>
  <sheetFormatPr defaultColWidth="8.85546875" defaultRowHeight="18.75" customHeight="1"/>
  <cols>
    <col min="1" max="1" width="11.4257812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c r="A1" s="5" t="s">
        <v>252</v>
      </c>
      <c r="B1" s="1" t="s">
        <v>253</v>
      </c>
      <c r="C1" s="1" t="s">
        <v>254</v>
      </c>
      <c r="D1" s="1" t="s">
        <v>255</v>
      </c>
      <c r="E1" s="1" t="s">
        <v>256</v>
      </c>
      <c r="F1" s="6" t="s">
        <v>257</v>
      </c>
      <c r="G1" s="1" t="s">
        <v>258</v>
      </c>
      <c r="H1" s="1" t="s">
        <v>259</v>
      </c>
      <c r="I1" s="7" t="s">
        <v>260</v>
      </c>
    </row>
    <row r="2" spans="1:17" s="9" customFormat="1" ht="114" customHeight="1">
      <c r="A2" s="28" t="s">
        <v>261</v>
      </c>
      <c r="B2" s="11" t="s">
        <v>262</v>
      </c>
      <c r="C2" s="107" t="s">
        <v>263</v>
      </c>
      <c r="D2" s="12" t="s">
        <v>264</v>
      </c>
      <c r="E2" s="10" t="s">
        <v>265</v>
      </c>
      <c r="F2" s="10" t="s">
        <v>266</v>
      </c>
      <c r="G2" s="13" t="s">
        <v>267</v>
      </c>
      <c r="H2" s="15" t="s">
        <v>268</v>
      </c>
      <c r="I2" s="14" t="s">
        <v>269</v>
      </c>
      <c r="J2" s="2"/>
      <c r="K2" s="2"/>
      <c r="L2" s="2"/>
      <c r="M2" s="2"/>
      <c r="N2" s="2"/>
      <c r="O2" s="2"/>
      <c r="P2" s="2"/>
      <c r="Q2" s="2"/>
    </row>
    <row r="3" spans="1:17" s="9" customFormat="1" ht="47.45" customHeight="1">
      <c r="A3" s="19" t="s">
        <v>270</v>
      </c>
      <c r="B3" s="19"/>
      <c r="C3" s="19"/>
      <c r="D3" s="19"/>
      <c r="E3" s="93" t="s">
        <v>271</v>
      </c>
      <c r="F3" s="21"/>
      <c r="G3" s="19"/>
      <c r="H3" s="19"/>
      <c r="I3" s="17"/>
      <c r="J3" s="2"/>
      <c r="K3" s="2"/>
      <c r="L3" s="2"/>
      <c r="M3" s="2"/>
      <c r="N3" s="2"/>
      <c r="O3" s="2"/>
      <c r="P3" s="2"/>
      <c r="Q3" s="2"/>
    </row>
    <row r="4" spans="1:17" s="9" customFormat="1" ht="47.45" customHeight="1">
      <c r="A4" s="19" t="s">
        <v>272</v>
      </c>
      <c r="B4" s="19"/>
      <c r="C4" s="19"/>
      <c r="D4" s="19"/>
      <c r="E4" s="20"/>
      <c r="F4" s="21"/>
      <c r="G4" s="19"/>
      <c r="H4" s="19"/>
      <c r="I4" s="17"/>
    </row>
    <row r="5" spans="1:17"/>
    <row r="6" spans="1:17">
      <c r="A6" s="52" t="s">
        <v>273</v>
      </c>
      <c r="B6" s="54"/>
      <c r="C6" s="54"/>
      <c r="D6" s="54"/>
      <c r="E6" s="54"/>
    </row>
    <row r="9" spans="1:17" s="4" customFormat="1" ht="104.25" customHeight="1">
      <c r="A9" s="99" t="s">
        <v>274</v>
      </c>
      <c r="B9" s="99"/>
      <c r="C9" s="99"/>
      <c r="D9" s="99"/>
      <c r="E9" s="99"/>
      <c r="F9" s="99"/>
    </row>
  </sheetData>
  <mergeCells count="1">
    <mergeCell ref="A9:F9"/>
  </mergeCells>
  <dataValidations count="4">
    <dataValidation type="list" allowBlank="1" showInputMessage="1" showErrorMessage="1" sqref="G2:G4" xr:uid="{A0615E9F-3DCD-4FAA-9DAE-D98946827056}">
      <formula1>"Low,Medium,High"</formula1>
    </dataValidation>
    <dataValidation type="list" allowBlank="1" showInputMessage="1" showErrorMessage="1" sqref="I2:I4" xr:uid="{FC6CB2DC-4B6E-46D2-97BA-D76BBF2B9896}">
      <formula1>"Open,Monitoring,Mitigated,Closed"</formula1>
    </dataValidation>
    <dataValidation type="list" allowBlank="1" showInputMessage="1" showErrorMessage="1" sqref="B2:C4" xr:uid="{E455AD5F-B350-44C8-8941-C213287E425D}">
      <formula1>"Work Force, Acess to Care, Quality of Care, Financial Stability, Risk to area residents,Legal,Regulatory,Other"</formula1>
    </dataValidation>
    <dataValidation type="list" allowBlank="1" showInputMessage="1" showErrorMessage="1" sqref="H2:H4"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E18" sqref="E18"/>
    </sheetView>
  </sheetViews>
  <sheetFormatPr defaultColWidth="8.85546875" defaultRowHeight="29.25" customHeight="1"/>
  <cols>
    <col min="1" max="1" width="15.42578125" style="18" customWidth="1"/>
    <col min="2" max="2" width="31.5703125" style="18" customWidth="1"/>
    <col min="3" max="3" width="29.85546875" style="18" customWidth="1"/>
    <col min="4" max="5" width="36.5703125" style="18" customWidth="1"/>
    <col min="6" max="6" width="34.42578125" style="18" customWidth="1"/>
    <col min="7" max="7" width="27.5703125" style="18" customWidth="1"/>
    <col min="8" max="8" width="32.42578125" style="18" customWidth="1"/>
    <col min="9" max="16384" width="8.85546875" style="18"/>
  </cols>
  <sheetData>
    <row r="1" spans="1:10" s="9" customFormat="1" ht="34.5" customHeight="1">
      <c r="A1" s="8" t="s">
        <v>275</v>
      </c>
      <c r="B1" s="7" t="s">
        <v>276</v>
      </c>
      <c r="C1" s="8" t="s">
        <v>277</v>
      </c>
      <c r="D1" s="8" t="s">
        <v>278</v>
      </c>
      <c r="E1" s="7" t="s">
        <v>279</v>
      </c>
      <c r="F1" s="7" t="s">
        <v>280</v>
      </c>
      <c r="G1" s="7" t="s">
        <v>281</v>
      </c>
      <c r="H1" s="8" t="s">
        <v>282</v>
      </c>
    </row>
    <row r="2" spans="1:10" s="9" customFormat="1" ht="29.25" customHeight="1">
      <c r="A2" s="17" t="s">
        <v>283</v>
      </c>
      <c r="B2" s="17"/>
      <c r="C2" s="17"/>
      <c r="D2" s="17"/>
      <c r="E2" s="17"/>
      <c r="F2" s="17"/>
      <c r="G2" s="17"/>
      <c r="H2" s="17"/>
    </row>
    <row r="3" spans="1:10" s="9" customFormat="1" ht="29.25" customHeight="1">
      <c r="A3" s="17" t="s">
        <v>284</v>
      </c>
      <c r="B3" s="17"/>
      <c r="C3" s="17"/>
      <c r="D3" s="17"/>
      <c r="E3" s="17"/>
      <c r="F3" s="17"/>
      <c r="G3" s="17"/>
      <c r="H3" s="17"/>
    </row>
    <row r="4" spans="1:10" s="9" customFormat="1" ht="29.25" customHeight="1">
      <c r="A4" s="17"/>
      <c r="B4" s="17"/>
      <c r="C4" s="17"/>
      <c r="D4" s="17"/>
      <c r="E4" s="17"/>
      <c r="F4" s="17"/>
      <c r="G4" s="17"/>
      <c r="H4" s="17"/>
    </row>
    <row r="5" spans="1:10" s="9" customFormat="1" ht="29.25" customHeight="1">
      <c r="A5" s="17"/>
      <c r="B5" s="17"/>
      <c r="C5" s="17"/>
      <c r="D5" s="17"/>
      <c r="E5" s="17"/>
      <c r="F5" s="17"/>
      <c r="G5" s="17"/>
      <c r="H5" s="17"/>
    </row>
    <row r="6" spans="1:10" s="9" customFormat="1" ht="29.25" customHeight="1">
      <c r="A6" s="17"/>
      <c r="B6" s="17"/>
      <c r="C6" s="17"/>
      <c r="D6" s="17"/>
      <c r="E6" s="17"/>
      <c r="F6" s="17"/>
      <c r="G6" s="17"/>
      <c r="H6" s="17"/>
    </row>
    <row r="7" spans="1:10" s="9" customFormat="1" ht="29.25" customHeight="1">
      <c r="A7" s="17"/>
      <c r="B7" s="17"/>
      <c r="C7" s="17"/>
      <c r="D7" s="17"/>
      <c r="E7" s="17"/>
      <c r="F7" s="17"/>
      <c r="G7" s="17"/>
      <c r="H7" s="17"/>
    </row>
    <row r="8" spans="1:10" s="9" customFormat="1" ht="29.25" customHeight="1">
      <c r="A8" s="17"/>
      <c r="B8" s="17"/>
      <c r="C8" s="17"/>
      <c r="D8" s="17"/>
      <c r="E8" s="17"/>
      <c r="F8" s="17"/>
      <c r="G8" s="17"/>
      <c r="H8" s="17"/>
    </row>
    <row r="10" spans="1:10" ht="15.75">
      <c r="A10" s="52" t="s">
        <v>273</v>
      </c>
      <c r="B10" s="53"/>
      <c r="C10" s="53"/>
      <c r="D10" s="53"/>
      <c r="E10" s="53"/>
    </row>
    <row r="13" spans="1:10" ht="29.25" customHeight="1">
      <c r="A13" s="99" t="s">
        <v>285</v>
      </c>
      <c r="B13" s="99"/>
      <c r="C13" s="99"/>
      <c r="D13" s="99"/>
      <c r="E13" s="99"/>
      <c r="F13" s="99"/>
      <c r="G13" s="99"/>
      <c r="H13" s="99"/>
      <c r="I13" s="99"/>
      <c r="J13" s="99"/>
    </row>
    <row r="24" spans="1:2" ht="29.25" customHeight="1">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73WRFNMZF6N2-353167544-4427</_dlc_DocId>
    <_dlc_DocIdUrl xmlns="c89e416c-4c29-47f7-9a79-f2bb4fe9a69b">
      <Url>https://vermontgov.sharepoint.com/teams/AHS-COHealthCareReformTeam/_layouts/15/DocIdRedir.aspx?ID=73WRFNMZF6N2-353167544-4427</Url>
      <Description>73WRFNMZF6N2-353167544-4427</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0CE1BC1-639F-4D06-885D-1C2B20D17F7E}"/>
</file>

<file path=customXml/itemProps2.xml><?xml version="1.0" encoding="utf-8"?>
<ds:datastoreItem xmlns:ds="http://schemas.openxmlformats.org/officeDocument/2006/customXml" ds:itemID="{BCE64B08-F34E-458C-A905-F0FA03EEB7A5}"/>
</file>

<file path=customXml/itemProps3.xml><?xml version="1.0" encoding="utf-8"?>
<ds:datastoreItem xmlns:ds="http://schemas.openxmlformats.org/officeDocument/2006/customXml" ds:itemID="{1127E538-F11E-4076-91A7-F1D9B3A5D939}"/>
</file>

<file path=customXml/itemProps4.xml><?xml version="1.0" encoding="utf-8"?>
<ds:datastoreItem xmlns:ds="http://schemas.openxmlformats.org/officeDocument/2006/customXml" ds:itemID="{B7348224-27EA-49DF-A83C-8E5968D7A8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Carrell, Katelyn</cp:lastModifiedBy>
  <cp:revision/>
  <dcterms:created xsi:type="dcterms:W3CDTF">2025-10-30T14:43:30Z</dcterms:created>
  <dcterms:modified xsi:type="dcterms:W3CDTF">2026-02-06T21:34:20Z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6e4740a2-2ce2-45e6-8dac-f24a98f354bd</vt:lpwstr>
  </property>
  <property fmtid="{D5CDD505-2E9C-101B-9397-08002B2CF9AE}" pid="4" name="MediaServiceImageTags">
    <vt:lpwstr/>
  </property>
</Properties>
</file>