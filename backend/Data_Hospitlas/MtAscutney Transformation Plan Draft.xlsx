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Katelyn.Carrell\Desktop\"/>
    </mc:Choice>
  </mc:AlternateContent>
  <xr:revisionPtr revIDLastSave="0" documentId="8_{7E40B39A-70DF-4460-9CDB-F8EA7B08DDAD}" xr6:coauthVersionLast="47" xr6:coauthVersionMax="47" xr10:uidLastSave="{00000000-0000-0000-0000-000000000000}"/>
  <bookViews>
    <workbookView xWindow="28680" yWindow="-120" windowWidth="29040" windowHeight="15720" activeTab="2" xr2:uid="{0C217AEB-ACF8-412A-87B5-FA3F27C51D23}"/>
  </bookViews>
  <sheets>
    <sheet name="Instructions" sheetId="5" r:id="rId1"/>
    <sheet name="1.Hospital Information" sheetId="2" r:id="rId2"/>
    <sheet name="2.Planned Transformation" sheetId="1" r:id="rId3"/>
    <sheet name="3.Risk Mitigation" sheetId="3" r:id="rId4"/>
    <sheet name="4. Communication Strategy" sheetId="4" r:id="rId5"/>
  </sheets>
  <definedNames>
    <definedName name="_xlnm.Print_Area" localSheetId="1">'1.Hospital Information'!$A$1:$D$16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<sst xmlns="http://schemas.openxmlformats.org/spreadsheetml/2006/main" count="300" uniqueCount="264">
  <si>
    <t>Purpose:</t>
  </si>
  <si>
    <t xml:space="preserve">The purpose of this Transformation Plan is to provide detailed information that enables AHS to review, assess and offer guidance on proposed hospital transformation initiatives. </t>
  </si>
  <si>
    <t>AHS will use analytic and decision-support tools to evaluate the potential impact of each proposal.</t>
  </si>
  <si>
    <t>Instructions:</t>
  </si>
  <si>
    <t>Please complete all tabs in this workbook as fully as possible.</t>
  </si>
  <si>
    <t>As noted in the cover letter, please reach out to Katie Carrell if you have additonal questions.  AHS is available to assist throughout the completion process.</t>
  </si>
  <si>
    <t>Within the Planned Transformation tab, you will be asked to provide the Objective and Theme for each goal. This is to ensure that the hospital goals also align with AHS and Act 68 of 2025 priorities, as detailed below.</t>
  </si>
  <si>
    <r>
      <t>Hospital Transformation and Regionalization Priorities</t>
    </r>
    <r>
      <rPr>
        <sz val="11"/>
        <rFont val="Aptos"/>
        <charset val="1"/>
      </rPr>
      <t> </t>
    </r>
  </si>
  <si>
    <t>1 </t>
  </si>
  <si>
    <t>Transforming the health system to ensure cost sustainability, workforce retention and growth, improved patient access, and better care outcomes.   </t>
  </si>
  <si>
    <t>2 </t>
  </si>
  <si>
    <t>Designing strategic regionalization of services to align with population needs, establishing regional care delivery systems, and fostering partnerships between organizations.   </t>
  </si>
  <si>
    <t>3 </t>
  </si>
  <si>
    <t>Maintaining access to essential local services.   </t>
  </si>
  <si>
    <r>
      <t>Act 68 of 2025 Purpose and Goals</t>
    </r>
    <r>
      <rPr>
        <sz val="11"/>
        <rFont val="Aptos"/>
        <charset val="1"/>
      </rPr>
      <t> </t>
    </r>
  </si>
  <si>
    <t>improvements in health outcomes, population health, quality of care, regional access to services, and reducing disparities in access resulting from demographic factors or health status;  </t>
  </si>
  <si>
    <r>
      <t>an integrated system of care, with robust care coordination and increased investments in primary care, home health care, and long-term care; </t>
    </r>
    <r>
      <rPr>
        <sz val="11"/>
        <rFont val="Arial"/>
        <charset val="1"/>
      </rPr>
      <t>​</t>
    </r>
    <r>
      <rPr>
        <sz val="11"/>
        <rFont val="Aptos"/>
        <charset val="1"/>
      </rPr>
      <t>  </t>
    </r>
  </si>
  <si>
    <t>stabilizing health care providers, controlling the costs of commercial health insurance, and managing hospital costs based on the total cost of care, beginning with reference-based pricing and continuing to global hospital budgets;  </t>
  </si>
  <si>
    <t>4 </t>
  </si>
  <si>
    <t>evaluating progress in achieving system transformation and structural changes by creating and applying standardized accountability metrics; and  </t>
  </si>
  <si>
    <t>5 </t>
  </si>
  <si>
    <t>establishing a health care system that will attract and retain high- quality health care professionals to practice in Vermont and that supports, develops, and preserves the dignity of Vermont’s health care workforce.  </t>
  </si>
  <si>
    <t>Goals:</t>
  </si>
  <si>
    <t xml:space="preserve">A transformation goal is defined as a significant and fundamental shift in how care is provided to support better health, better care, and lower costs.  </t>
  </si>
  <si>
    <t>A regional goal is a collective goal set by a multiple organizations, hospitals and/or other health provider such as primary care, home health, residential, etc. or communities within a geographic area.</t>
  </si>
  <si>
    <t>Objectives and Themes:</t>
  </si>
  <si>
    <t>The objective of each goal should be hospital, regional or statewide.</t>
  </si>
  <si>
    <t>The theme of each goal can be Clinical Service Redesign, Transfers and Transport, Shared Purchasing, Information Technology, Workforce Development or Other.</t>
  </si>
  <si>
    <t>Submission Deadline:</t>
  </si>
  <si>
    <t>Draft plans due January 15, 2026; final plans due after AHS review.</t>
  </si>
  <si>
    <t xml:space="preserve">File Naming Convention: </t>
  </si>
  <si>
    <t>HospitalName_TransformationPlan_YYMMDD.xlsx</t>
  </si>
  <si>
    <t>Please know that all submissions are subject to Vermont public records law, see 1 V.S.A. §315-320. </t>
  </si>
  <si>
    <t>Hospital Name</t>
  </si>
  <si>
    <t>County</t>
  </si>
  <si>
    <t>TIN</t>
  </si>
  <si>
    <t>CCN</t>
  </si>
  <si>
    <t>Hospital Number</t>
  </si>
  <si>
    <t>Chief Executive Officer</t>
  </si>
  <si>
    <t>Senior Clinical Lead</t>
  </si>
  <si>
    <t>Senior Finance Lead</t>
  </si>
  <si>
    <t>Senior Operations Lead</t>
  </si>
  <si>
    <t>Other Senior Leadership</t>
  </si>
  <si>
    <t>Transformation Champion (who will own this work)</t>
  </si>
  <si>
    <t>Type of Hospital (PPS or CAH)</t>
  </si>
  <si>
    <t>Hospital ownership (independent or system)</t>
  </si>
  <si>
    <t>Number of hospital staffed beds</t>
  </si>
  <si>
    <t>Electronic health record system</t>
  </si>
  <si>
    <t xml:space="preserve">Transformation Goal                          (hospital, regional, statewide)                              </t>
  </si>
  <si>
    <t>Does this goal focus on hospital or regional objectives                              DROP DOWN</t>
  </si>
  <si>
    <t>Does this goal focus on one of the followng themes                       DROP DOWN</t>
  </si>
  <si>
    <t xml:space="preserve">What Action Steps will be taken to accomplish the Transformation Goal?  List up to 12 Action Steps for each Transformation Goal.   Include specific details on how these goals will be planned and executed.                                                                                         </t>
  </si>
  <si>
    <t xml:space="preserve">List any stakeholders that will require coordination to achieve this goal (ie; hospitals,providers, shared purchasing entities)                           </t>
  </si>
  <si>
    <t xml:space="preserve">Explain what actions have been and will be taken to engage stakeholders, if applicable    </t>
  </si>
  <si>
    <t>What is the dollar value of investment required?            DOLLAR ENTRY</t>
  </si>
  <si>
    <t>How was the investment dollar value determined? DROP DOWN</t>
  </si>
  <si>
    <t xml:space="preserve">What are the potential cost savings?  Include method of analysis or guiding resources                   </t>
  </si>
  <si>
    <t xml:space="preserve">What data measure(s) will be used to determine success?    Metrics should measure progress and long term outcomes.                           </t>
  </si>
  <si>
    <t xml:space="preserve">What is the Goal start date?  </t>
  </si>
  <si>
    <t>Target completion date</t>
  </si>
  <si>
    <t xml:space="preserve">Who is responsible to ensure this Goal is carried out? Enter person's last name, not title.                   </t>
  </si>
  <si>
    <t xml:space="preserve">Briefly summarize your sustainability plan                       </t>
  </si>
  <si>
    <t xml:space="preserve">Are there workforce implications?    </t>
  </si>
  <si>
    <t xml:space="preserve">Please add additonal notes, concerns or barriers if needed                                                                                                           </t>
  </si>
  <si>
    <t>Goal</t>
  </si>
  <si>
    <t>Objective</t>
  </si>
  <si>
    <t>Themes</t>
  </si>
  <si>
    <t>Action Steps</t>
  </si>
  <si>
    <t>Stakeholders</t>
  </si>
  <si>
    <t>Stakeholder Engagement</t>
  </si>
  <si>
    <t>$$$</t>
  </si>
  <si>
    <t>Detail behind investment</t>
  </si>
  <si>
    <t>Cost Savings</t>
  </si>
  <si>
    <t>Measurement</t>
  </si>
  <si>
    <t xml:space="preserve"> Start Date</t>
  </si>
  <si>
    <t>Completion Date</t>
  </si>
  <si>
    <t>Responsibility</t>
  </si>
  <si>
    <t>Sustainability</t>
  </si>
  <si>
    <t>Workforce</t>
  </si>
  <si>
    <t>Notes, Concerns or Barriers</t>
  </si>
  <si>
    <t>Hospital</t>
  </si>
  <si>
    <t>Transfers and Transport</t>
  </si>
  <si>
    <t xml:space="preserve">1.	Form a committee responsible for governance, decision-making, and overall operational responsibility for inpatient resource utilization and transfer management projects. 
2.	Assess current capacity (through audit of beds, staff, equipment and other assets) and current workflows.
3.	Identify gaps and constraints that need to be addressed to achieve targets, accounting for predictable and unpredictable patient volumes. 
4.	Implement technology, workflows, training, and staffing models identified for hospital focused interventions (Stand up hospital capacity management and transfer team, Complete Emergency Department Triage Redesign, Implement 24/48 hour discharge dashboards)
5.	Participate in statewide pulse check calls with tertiary facilities. 
6.	Work with Primary Care and other community partners to divert non-emergency care to lower intensity settings as appropriate.
7.	Monitor key indicators and adapt/adopt processes as required. 
</t>
  </si>
  <si>
    <t xml:space="preserve">Patients
Hospital Staff (Physicians/Providers, Nurses, Allied Health, Support Staff)
Local Residential Care 
Home Health and Hospice
Mobile Integrated Health
Hospital Leadership and Administration
Local EMS Providers
UVMMC/DH Transfer Centers
</t>
  </si>
  <si>
    <t xml:space="preserve">Formed stakeholder committee
Conducted Hospital Staff Surveys
Engaged Patient and Family Advisory Committee
</t>
  </si>
  <si>
    <t xml:space="preserve">•	ED Boarding Times (target &lt;= 4hrs)
•	Inpatient Bed Occupancy Rate (target: 80-85%)
•	Percentage of daily discharges before 11am (target: 25-30%)
•	Avg length of stay by service line
•	Avg time from transfer request to acceptance
•	Avg time from acceptance to patient arrival
•	Percentage of transfers accepted or denied
</t>
  </si>
  <si>
    <t>Morgan Smith</t>
  </si>
  <si>
    <t>Cost to implement includes estimate for software system upgrades, staffing and training, and integration with local EMS</t>
  </si>
  <si>
    <t>Risk #</t>
  </si>
  <si>
    <t>Risk type                                                                           MULT CHOICE</t>
  </si>
  <si>
    <t>Goal(s) associated with this Risk</t>
  </si>
  <si>
    <t xml:space="preserve">Risk Description                                                                                                                                                     </t>
  </si>
  <si>
    <t xml:space="preserve">Mitigation Strategy                                                          </t>
  </si>
  <si>
    <t xml:space="preserve">Contingency Plan                                        </t>
  </si>
  <si>
    <t>Likelihood                                DROP DOWN</t>
  </si>
  <si>
    <t xml:space="preserve">Impact Severity                                          (Level of effect if it happens) </t>
  </si>
  <si>
    <t>Status                                                                                 DROP DOWN</t>
  </si>
  <si>
    <r>
      <rPr>
        <u/>
        <sz val="11"/>
        <color rgb="FF215C98"/>
        <rFont val="Aptos Narrow"/>
        <scheme val="minor"/>
      </rPr>
      <t>Example</t>
    </r>
    <r>
      <rPr>
        <sz val="11"/>
        <color rgb="FF215C98"/>
        <rFont val="Aptos Narrow"/>
        <scheme val="minor"/>
      </rPr>
      <t xml:space="preserve"> Risk 1</t>
    </r>
  </si>
  <si>
    <t>Work Force</t>
  </si>
  <si>
    <t>Acess to Care</t>
  </si>
  <si>
    <t>Critical staffing shortages(RNs,LPNs) may limit hospital's ability to implement redesigned patient flow processes, stand up a capacity management team or maintain target ED boarding and inpatient throughput measures.</t>
  </si>
  <si>
    <t>Develop a phased staffing plan; cross-train existing staff for patient flow and discharge planning roles; leverage per diem pools; partner with regional hospitals for shared transfer resources; implement interim workflow adjustments that reduce staffing burden</t>
  </si>
  <si>
    <t>Prioritize essential capacity management functions; activate regional backup transfer pathways; temporarily modify throughput targets; engage contract/locum support; escalate critical delays to regional partners through pulse-check calls.</t>
  </si>
  <si>
    <t>Medium</t>
  </si>
  <si>
    <t>Critical</t>
  </si>
  <si>
    <t>Monitoring</t>
  </si>
  <si>
    <t>Risk 2</t>
  </si>
  <si>
    <t>Risk 3</t>
  </si>
  <si>
    <t>Comm ID</t>
  </si>
  <si>
    <t>Date/Planned Date</t>
  </si>
  <si>
    <t>Stakeholder Name</t>
  </si>
  <si>
    <t>Communication Objective</t>
  </si>
  <si>
    <t>Communication Method                                                  DROP DOWN</t>
  </si>
  <si>
    <t>Frequency                                                   DROP DOWN</t>
  </si>
  <si>
    <t>Status                                      DROP DOWN</t>
  </si>
  <si>
    <t>Notes</t>
  </si>
  <si>
    <t>Comm 1</t>
  </si>
  <si>
    <t>The communication tab tracks all regular project interactions to ensure consistent, transparent engagement with key stakeholders.</t>
  </si>
  <si>
    <t>Windsor</t>
  </si>
  <si>
    <t>03-0183721</t>
  </si>
  <si>
    <t>Matthew Foster, MD</t>
  </si>
  <si>
    <t>(802)674-7022</t>
  </si>
  <si>
    <t>CAH with Distinct Part IRF (PPS)</t>
  </si>
  <si>
    <t xml:space="preserve">System </t>
  </si>
  <si>
    <t>EPIC</t>
  </si>
  <si>
    <t>Catherine Schneider, MD,  CMO</t>
  </si>
  <si>
    <t>Matthew Mattiesen</t>
  </si>
  <si>
    <t>Margaret Worth,  Sr. Director of Quality</t>
  </si>
  <si>
    <t>Belinda Needham-Shropshire,</t>
  </si>
  <si>
    <t>Belinda Needham-Shropshire, Sr. Director of Clinical Operations and Community Health</t>
  </si>
  <si>
    <t>Mt. Ascutney Hospital and Health Center / Windsor Hospital Corp DBA</t>
  </si>
  <si>
    <t>Business Case</t>
  </si>
  <si>
    <t>Metrics on CHT referrals for the Geriatric Population,  Identification of Resource needs, Access to resources and Collarborative interactions</t>
  </si>
  <si>
    <t xml:space="preserve">We do not see direct work force implications though we do propose establishing a Project Manager for the commencement of this project. </t>
  </si>
  <si>
    <t xml:space="preserve">We went live with a new electronic medical record in October of 2025 which has disrupted some of our data collection. To address this reality we are  establishing our baseline metrics for the program from the Months of 1/1 2025-10/1/2025. </t>
  </si>
  <si>
    <t>Regulatory</t>
  </si>
  <si>
    <t>Quality of Care</t>
  </si>
  <si>
    <t xml:space="preserve">Due to the increasing pressures on our vulnerable populations the demands for services and resources Is going to increase in 2026. </t>
  </si>
  <si>
    <t>Significant</t>
  </si>
  <si>
    <t>It is incumbent on this project to improve all aspects of our programs, communication, and resource management. The tracking of data to ensure utilization, of resources and to identify and ongoing deficits in resources will be critical.</t>
  </si>
  <si>
    <t>Regional</t>
  </si>
  <si>
    <t>Clinical Service Redesign</t>
  </si>
  <si>
    <t>Average days from referral to first specialty contact
Number/percentage of referrals closed within 90 days
Utilization of tele-specialty or shared staffing sessions</t>
  </si>
  <si>
    <t>Improve access to care for primary care with aim to privde a primary care provider for all who request this</t>
  </si>
  <si>
    <t>we will review process of scheduling, patient panels and support staffing and share findings.  We will also work with primary care providers and support teams to look atopprtunities to have patient access without adding excess burden to present staff</t>
  </si>
  <si>
    <t>TBD</t>
  </si>
  <si>
    <t>Other</t>
  </si>
  <si>
    <t>With more efficient care and scheduling methods, we will be able to reduce staffing in some areas.  With improved, wrap around care, patient health concerns will be managed consistentantly, thus leading to reduced emergent care and hospitalization</t>
  </si>
  <si>
    <t>Length of wait list for a new PCP; wait time to be assigned a PCP; # visits to the ED for medical conditions that are not well-controlled</t>
  </si>
  <si>
    <t>Schneider</t>
  </si>
  <si>
    <t>Yes.  Addition of dietician and health navigators</t>
  </si>
  <si>
    <t xml:space="preserve">Patients, providers, community resource centers, pharmacists, mental health providers, VNA, town nurse
</t>
  </si>
  <si>
    <t>Ensure access to community-based emergent and urgent general surgical care</t>
  </si>
  <si>
    <t>1. Work with Academic Medical Centers to create a pathway to convert consultations for common general surgical conditions such as hernias, gall bladder disease, and other to consultation at the community hospitals to improve access to care and decrease wait time for evaluation and treatment of surgical conditions</t>
  </si>
  <si>
    <t>Ensure access to elective general surgical care at the community hospitals thus decreasing wait time for treatment of common surgical conditions</t>
  </si>
  <si>
    <t>Academic medical centers, hospitals, patients, surgeons</t>
  </si>
  <si>
    <t>Identify strategies, partners (internal &amp; external), resources, and timeline to establish an Age Friendly Program (Center of Excellence) focusing on geriatric care needs such as: fall risk assessment, pharmaceutical review, mental health, advanced care planning, etc. identified through analyzing the target population’s needs.</t>
  </si>
  <si>
    <t>1. Assess present resources in the community available to our geriatric community members; 2. Work with the Community Health Team to improve connections with the available resources; 3. Create pathways to connect elderly community members to those resources; 4. work to assure gaps in resources are filled</t>
  </si>
  <si>
    <t>1. Formed Senior Leadership Working group; 
2. Re-established Internal Stakeholder group with added membership; 3.Expanded External Stakeholder Group</t>
  </si>
  <si>
    <t>Needham-Shropshire/Schneider</t>
  </si>
  <si>
    <t>Risk 4</t>
  </si>
  <si>
    <t>Risk 5</t>
  </si>
  <si>
    <t>Risk 6</t>
  </si>
  <si>
    <t>Risk 7</t>
  </si>
  <si>
    <t>Risk 8</t>
  </si>
  <si>
    <t>Comm 2</t>
  </si>
  <si>
    <t>Comm 3</t>
  </si>
  <si>
    <t>Comm 4</t>
  </si>
  <si>
    <t>Comm 5</t>
  </si>
  <si>
    <t>Comm 6</t>
  </si>
  <si>
    <t>Comm 7</t>
  </si>
  <si>
    <t>Comm 8</t>
  </si>
  <si>
    <t xml:space="preserve">Patients, primary care providers, nursing, CHT, emergency medicine providers, behavioral health providers, pfychiatrists
</t>
  </si>
  <si>
    <t>March, 2027</t>
  </si>
  <si>
    <t>Schneider/Bianchi</t>
  </si>
  <si>
    <t>Yes.  Addition or change in the behavioral health providers as well as maintenance of one psychiatrist and adjustment of another psychiatrists schedule</t>
  </si>
  <si>
    <t>There is concern that the change in the mental health practice model will adverely affect present pyschiatry staff.  This staff have support of the primary care providers.  Providers are concerned that they will lose a valuable assest</t>
  </si>
  <si>
    <t>Become an age-friendly organization to assure our community receives age-appropriate care of their needs, regardless of age</t>
  </si>
  <si>
    <t>1. Engage with GEDA for attaining level 1 geriatric care certificatiom; 2. Expand NICHE training to other areas of the hospital (primary care and specialties); 3. Engage with DHMC on gaining Geriatric certification for surgical services</t>
  </si>
  <si>
    <t>Nursing, medical staff, ancillary staff, patines, GEDA, senior admin team</t>
  </si>
  <si>
    <t>1. NICHE training has occurred on inpatient unit and report has been submitted.  We are waiting to find out what level we have achieved; 2. We will meet with a GEDA director to look at ED certification for level 1 and cost; 3. We work begin to look at other areas of the hospital such as surgical servicesonce we have the other areas certified</t>
  </si>
  <si>
    <t>Vender quotes</t>
  </si>
  <si>
    <t>Potentially will save costs by avoiding postoperative complications in the elderly, reduce admissions and readmissions as well as ED visits</t>
  </si>
  <si>
    <t>Schneider/Tidwell</t>
  </si>
  <si>
    <t>We will engrain age-appropriate care into every encounter with our patients so that it becomes a natural part of our care rather than an additional practice.  Cost of certification might not be avoidable.</t>
  </si>
  <si>
    <t xml:space="preserve">Maybe.  There may be addition of medical assistants or care navigators to assure patients get the care they need </t>
  </si>
  <si>
    <t>Decrease call pay for nursing and anesthesia staff</t>
  </si>
  <si>
    <t>Decrease in transfers to the medical center of general surgical cases that can be done in the community.  Decrease transfers out of the area due to lack of capacity at the medical center</t>
  </si>
  <si>
    <t>Maintain adequate community surgeons to rotate call weekends.  With less frequent call for surgeons, anesthesia and nursing, improved job satisfaction and less burnout.  Recruiting efforts will be bolstered by less call.</t>
  </si>
  <si>
    <t>Yes.  There needs to be adequate surgeons and OR staff to maintain access in the community</t>
  </si>
  <si>
    <t>Wait time until initial consultation for common surgical condiditons; wait time to surgical treatment for those conditions.  Keeping care close to home</t>
  </si>
  <si>
    <t>Will measure reduction in ED visits, admissions and readmissions for avoidable conditions (CHF and COPD)</t>
  </si>
  <si>
    <t>Financial Stability</t>
  </si>
  <si>
    <t>Maintaining present psychiatric access in addition to the collaborative care model may be untenable with regard to cost</t>
  </si>
  <si>
    <t>We will reassess benefits of this program with regard to quality outcomes and utilization of resources provided.  This will inform how we may need to modify the staffing to maintain access and quality while reducing cost</t>
  </si>
  <si>
    <t>Moderate</t>
  </si>
  <si>
    <t>Started in 2025 with NICHE training on the acute unit</t>
  </si>
  <si>
    <t>This is a multiyear project expecting to be implemented over 3-5 years.</t>
  </si>
  <si>
    <t>Mt Ascutney has worked with DHMC surgical chair to identify patients with conditions that can be treated in the community and looked at ways to book those consultations with the general surgeons at Mt Ascutney.</t>
  </si>
  <si>
    <t>TBD.  We expect there will be a decrease in transportation cost for the patients as well as reduce cost to patients who will not have to travel as far to see a surgeon.</t>
  </si>
  <si>
    <t xml:space="preserve">Started in 2025 </t>
  </si>
  <si>
    <t>Primary Care providers have met with the CoCM team to discuss the collaborative care model and there is  a Kick Off meeing scheduled for end of January with the CoCM team, MAH and VRH.  Kick off meeting occurred 1/29/2026</t>
  </si>
  <si>
    <t>Yes.  We will need to maintain adequate surgeon, anesthesia and nursing staff numbers to allow this to work long term.</t>
  </si>
  <si>
    <t>Incorporate the Collaborative Care Model for mental health and substance use disorder into primary acre</t>
  </si>
  <si>
    <t>Reduced number of employees in this service.  The clinicians will be employed by DHMC.  Mt Ascutney will share in the cost as opposed to supporting the entire cost.</t>
  </si>
  <si>
    <t>This started 8/2025 and is ongoing.  Once the 2 new community surgeons are hired in 2026 (Mt Ascutney will have 0.5 FTE new surgeon to replace 0.75 FTE of 2 other surgeons, 1 retiring from surgery and 1 moving work to a single location), then we can assure that nearly every weekend will have a community general surgeon available with call team at one of 4 CAH hospitals in DH system.  We are able to take transfers from other VT hospitals when they have no surgeon available.</t>
  </si>
  <si>
    <t>Minimal.  We will utilize present staff to direct consults to existing surgical staff to see the patients.</t>
  </si>
  <si>
    <t>Support nursing Pathways Program to increase nursing workforce in Vermont</t>
  </si>
  <si>
    <t>Continue the Pathways Program which is in its second cohort</t>
  </si>
  <si>
    <t>Nursing, Hospitals, community programs and outpatient practices</t>
  </si>
  <si>
    <t>Worked with the community  and nursing schools to promote the Pathways program</t>
  </si>
  <si>
    <t>Decreased use of traveller staff.  Decreased time from posting nursing positions to filling those positions</t>
  </si>
  <si>
    <t>Ongoing</t>
  </si>
  <si>
    <t>Tidwell/Mesropian</t>
  </si>
  <si>
    <t>Yes.  Increase in nursing workforce in Vermont.  Hopefully, the graduating nurses will stay in our region.</t>
  </si>
  <si>
    <t>Started August 2024. We currently have three employees in cohort 1, four in cohort 2, and anticipating four for cohort 3 starting 8/2026.</t>
  </si>
  <si>
    <t>TBD .  We plan to assess reduction in ED visits for Geriatric Population.   Consider also reviewing admissions and readmissions of geriatric patients related to access to services at home. With improved advanced care planning, we should see a reduction in inpatient mortality, inpatient and ED utilization for end-of-life care.</t>
  </si>
  <si>
    <t>With renovation of the primary care practice and improved team work with CHT, health assistants, etc, this model should be self-sustainable if appropriate reimbursement for care provided</t>
  </si>
  <si>
    <t>1. Met with the psychiatry team from DHMC to discuss opportunities for broadening mental health and substance use disorder treatment in our primary care space; 2. Determine how the collabortive care model for pyschiatry will fit with our present resources to expand care; 3. Understand costs of additional services without adding excessive cost to the primary care budget; 3. Look for ways to decrease cost to provide adequate mental health and SUD care.</t>
  </si>
  <si>
    <t>The CoCM measures patient outcomes which we are not able to do alone.  These outcomes include reduction in depression screening scores, improvement in symptoms.  Improved patient outcomes should reduce ED visits and hospitalizations.</t>
  </si>
  <si>
    <t>Initiate the project in February 2026. Go live in October, 2026</t>
  </si>
  <si>
    <t xml:space="preserve">With incorporation of the collaborative care model for pyschiatry, behavioral health and substance use care, we will have a stable resource for our patients without concern for recruitment.  The service will be managed by DH pyschiatry department.  The DH system is dedicated to providing sustainable care throughout the system  </t>
  </si>
  <si>
    <t>1. Work with Academic Medical Center(s) to decrease transfer of patients with surgical needs outside of the area due to lack of beds available at the medical centers; 2. Work with community hospitals and medical centers to assure adequate gerneral surgeon workforce to provide surgical care at the community hospitals; 3. work with community hospitals to improve ability to accept emergent and urgent surgical patients on a rotating basis; 4. Work with medical center care coordination centers to transfer patients to the local hospital when appropriate rather than to the medical center or out of the area</t>
  </si>
  <si>
    <t>Patients, surgeons, OR staff/nursing, DH care coordination center (CCC), local ambulance and patient transportation providers</t>
  </si>
  <si>
    <t xml:space="preserve">1. We have worked with DH general surgery department to create a schedule of urgent and emergent surgery availablity at the local CAH hospitals; 2. Two new general surgeons will be hired by DHMC and shared between 3 hospitals for community surgical work to allow for a rotating hospital weekend call schedule to avoid over taxing limited staff at the community hospitals and the need to pay call teams at each hospital every weekend. </t>
  </si>
  <si>
    <t>Mt Ascutney is sharing that cost of one general surgeon with Valley Regional Hospital. The cost of OR call pay and anesthesia call pay will decrease because of less call per month</t>
  </si>
  <si>
    <t xml:space="preserve">With adequate surgical staff at the community hospitals, this can be maintained long term.  Commitment from the hospitals and the academic medical centers to proper utilization of services through the system and the local regions. </t>
  </si>
  <si>
    <t>TBD - may be 30-40K/year to maintain certifications</t>
  </si>
  <si>
    <t>$190,000 for the first 2 cohorts (2024 and 2025) with plans for a third cohort later this year.</t>
  </si>
  <si>
    <t>Longterm, more local and regional nursing workforce will decrease costs occurred from using travelers and temporary workforce</t>
  </si>
  <si>
    <t>Lack of state and federal funding to support this program which is very costly. Mt Ascutney remains committed to support the Pathways Program for as long as fiscally possible.</t>
  </si>
  <si>
    <t>In addition to decreased cost for call pay, we have partnered with the local acedemic center (DHMC) to share anesthesia services which will decrease cost of anesthesia salaries and benefits.  We were able to end anesthesia contract with Medstream, an anesthesia staffing company that was quite costly and did not allow for flexibility in staffing when need.  There is a potential to look at augmented intelligence to help triage urgent surgical needs in the region to the appropriate level hospital.  Cost of this type of project TBD</t>
  </si>
  <si>
    <r>
      <rPr>
        <u/>
        <sz val="14"/>
        <color theme="3" tint="0.249977111117893"/>
        <rFont val="Aptos Narrow"/>
        <scheme val="minor"/>
      </rPr>
      <t>EXAMPLE:</t>
    </r>
    <r>
      <rPr>
        <sz val="14"/>
        <color theme="3" tint="0.249977111117893"/>
        <rFont val="Aptos Narrow"/>
        <scheme val="minor"/>
      </rPr>
      <t xml:space="preserve"> Implement hospital capacity management strategy.</t>
    </r>
  </si>
  <si>
    <t xml:space="preserve">Hospital, Primary care providers, community health team, </t>
  </si>
  <si>
    <t xml:space="preserve">Work with area primary care practices and communities to share resource knowledge and availability and look to broaden resource pool for community services </t>
  </si>
  <si>
    <t>Share administrative costs with our sister hospital to decrease overhead hospital expenses</t>
  </si>
  <si>
    <t>1. In 12/2024 we hired a shared CEO for Mt Ascutney Hospital and Valley Regional Hospital; 2. In 11/2025, we hired a shared CFO for those two hospitals and in 1/2026, the Mt Ascutney COO began as the COO for both hospitals</t>
  </si>
  <si>
    <t>Senior leadership teams at both hospitals, employees, outside venders, system members</t>
  </si>
  <si>
    <t xml:space="preserve">Three of the senior leadership team are shared between both hospitals.  This information has been shared with both organizations. </t>
  </si>
  <si>
    <t>Approx $600,000/year savings for Mt Ascutney Hospital</t>
  </si>
  <si>
    <t>50/50 salary split for the three senior leaders</t>
  </si>
  <si>
    <t>This will be noted in the budget</t>
  </si>
  <si>
    <t>Started in 12/2024 and completed 1/2026</t>
  </si>
  <si>
    <t>Foster</t>
  </si>
  <si>
    <t>With efficencies of duties and shared policies,we should be able to maintain the shared senior leaders long term</t>
  </si>
  <si>
    <t>Yes, fewer senior level amdinistrators</t>
  </si>
  <si>
    <t>Potential for further shared senior leadership and manager level leadership over time.</t>
  </si>
  <si>
    <t>Primary care practices, hospitals, regional communities, resource centers, local and regional governmental agencies</t>
  </si>
  <si>
    <t>We will reach out to the stakeholders to understand the local and regional needs.  We will seek to understand how best to bolster existing resources as well as how to assist in developing resources that are lacking.</t>
  </si>
  <si>
    <t>Will work with Southeast regional area to improve access to hospice and palliative care</t>
  </si>
  <si>
    <t xml:space="preserve">Review present primary care linical practice model to assess for improved timeliness of scheduling, open access scheduling such as exploring self scheduling and innovative ways to support advanced primary care (aka team based approach with social work, community health navigators, dietician, nursing, wellness and provider).   </t>
  </si>
  <si>
    <t>1. Launching from work done from the state healthcare grant, we will utilize the strengthened community health resources and relationships and share them with local and regional communities. 2. Work with local and regional provider practices to build community resources for people in need of support, such as community nurse, community centers, mental health, geriatric care, fall risk, nutritional risk and more, depending on community needs.</t>
  </si>
  <si>
    <t>Improved resources for patients with needs will reduce avoidable ED visits and hospitalizations.</t>
  </si>
  <si>
    <t>Measure ED visits and admissions for avoidable visits for conditions such as CHF and COPD</t>
  </si>
  <si>
    <t xml:space="preserve">Throught the grant period </t>
  </si>
  <si>
    <t xml:space="preserve">Once resources are identified, sharing can be done long term.  Will need to detrmine appropriate repository for the resource information and someone to keep it updated.  </t>
  </si>
  <si>
    <t>Possibly- someone who can continue the outreach to communities to update the list of resources and contact information</t>
  </si>
  <si>
    <t>Needham-Shropshire/Worth</t>
  </si>
  <si>
    <t>1. Review with the southeast region hospitals the present state of hospice and palliative care and availability in their local communities; 2. Look for potential options for sharing hospice and palliative care trained clinicians for the region; 3. Identify ways to provide acces to hospice and palliative care in the outpatient setting rather than just inpatient setting</t>
  </si>
  <si>
    <t>Community members, primary care providers, hospitals</t>
  </si>
  <si>
    <r>
      <t xml:space="preserve">Barriers include: recruitment of the health supporters including dietician and weight and wellness as well as access to a local pharmacy.  There is minimal access to these types of providers in the area.  Mt Ascutney presently subsidizes a pharmacy in the OHC building.  This started when the only pharmacy in Woodstock closed.  </t>
    </r>
    <r>
      <rPr>
        <b/>
        <sz val="18"/>
        <color rgb="FF000000"/>
        <rFont val="Aptos Narrow"/>
        <scheme val="minor"/>
      </rPr>
      <t>Subsidizing this pharmacy allows for people in the community to have local access to medications.</t>
    </r>
    <r>
      <rPr>
        <sz val="14"/>
        <color rgb="FF000000"/>
        <rFont val="Aptos Narrow"/>
        <scheme val="minor"/>
      </rPr>
      <t xml:space="preserve"> Windsor lost its local pharmacy in 2025.</t>
    </r>
  </si>
  <si>
    <r>
      <t xml:space="preserve">This may be difficult to sustain longterm.  </t>
    </r>
    <r>
      <rPr>
        <b/>
        <sz val="16"/>
        <color theme="1"/>
        <rFont val="Aptos Narrow"/>
        <scheme val="minor"/>
      </rPr>
      <t xml:space="preserve">ARPA funds were discontinued before Mt Ascutney was able to benefit from those funds.  We are fully supporting the cost of the nurses' schooling as well as pay for their work in our clinics.  Funding from the Federal or state would help support this program for many years. Our cost to date has been $190,000 for the first 2 years. </t>
    </r>
    <r>
      <rPr>
        <sz val="14"/>
        <color theme="1"/>
        <rFont val="Aptos Narrow"/>
        <scheme val="minor"/>
      </rPr>
      <t xml:space="preserve"> </t>
    </r>
  </si>
  <si>
    <r>
      <t xml:space="preserve">This is augmenting the work of the CHT group which has been established and reinvigorated this Fall. Additionally, the Senior Leadership Team has committed to successful implemetation of becoming an Age Friendly Organization as part of our Strategic Plan. </t>
    </r>
    <r>
      <rPr>
        <b/>
        <sz val="14"/>
        <rFont val="Aptos Narrow"/>
        <scheme val="minor"/>
      </rPr>
      <t>Presently, Mt Ascutney subsidizes a CHT member who works at the Thompson Senior Center  at the cost of 50K/yr for three year project.</t>
    </r>
  </si>
  <si>
    <r>
      <t xml:space="preserve">The Historic Homes of Runnameade is presently residential care.  Mt Ascutney has supported operations while working to imporve the fiscal stability.  In addition, MAH is planning Category 1 and 2 facility upgrades in FY 2026/2027 to assure safety of the facilites. </t>
    </r>
    <r>
      <rPr>
        <b/>
        <sz val="16"/>
        <color theme="1"/>
        <rFont val="Aptos Narrow"/>
        <scheme val="minor"/>
      </rPr>
      <t>The cost of operations support in 2025 was $950,000 and $206,000 so far in FY26.  The cost of safety upgrades for category 1-2 items will cost approx $1.25 mil in FY 26/27.  While there is a need for residential care in the region, it may be beneficial to explore transition of these buildings to assisted leaving for the community.  There are many elderly community members who do not need residential care but would benefit from assisted living.  There is no available options for people who need this type of living arrangement.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</si>
</sst>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_(&quot;$&quot;* #,##0_);_(&quot;$&quot;* \(#,##0\);_(&quot;$&quot;* &quot;-&quot;??_);_(@_)"/>
    <numFmt numFmtId="165" formatCode="_([$$-409]* #,##0.00_);_([$$-409]* \(#,##0.00\);_([$$-409]* &quot;-&quot;??_);_(@_)"/>
  </numFmts>
  <fonts count="34" x14ac:knownFonts="1">
    <font>
      <sz val="11"/>
      <color theme="1"/>
      <name val="Aptos Narrow"/>
      <family val="2"/>
      <scheme val="minor"/>
    </font>
    <font>
      <sz val="11"/>
      <color theme="1"/>
      <name val="Aptos Narrow"/>
      <family val="2"/>
      <scheme val="minor"/>
    </font>
    <font>
      <sz val="14"/>
      <color theme="1"/>
      <name val="Aptos Narrow"/>
      <family val="2"/>
      <scheme val="minor"/>
    </font>
    <font>
      <sz val="14"/>
      <color rgb="FF000000"/>
      <name val="Aptos Narrow"/>
      <family val="2"/>
      <scheme val="minor"/>
    </font>
    <font>
      <b/>
      <sz val="12"/>
      <color rgb="FF000000"/>
      <name val="Aptos Narrow"/>
      <family val="2"/>
      <scheme val="minor"/>
    </font>
    <font>
      <sz val="12"/>
      <color theme="1"/>
      <name val="Aptos Narrow"/>
      <family val="2"/>
      <scheme val="minor"/>
    </font>
    <font>
      <sz val="12"/>
      <color rgb="FF000000"/>
      <name val="Aptos Narrow"/>
      <family val="2"/>
      <scheme val="minor"/>
    </font>
    <font>
      <sz val="12"/>
      <color theme="1"/>
      <name val="Aptos Narrow"/>
      <scheme val="minor"/>
    </font>
    <font>
      <sz val="11"/>
      <color theme="3" tint="0.249977111117893"/>
      <name val="Aptos Narrow"/>
      <scheme val="minor"/>
    </font>
    <font>
      <b/>
      <sz val="11"/>
      <name val="Aptos"/>
      <charset val="1"/>
    </font>
    <font>
      <sz val="11"/>
      <name val="Aptos"/>
      <charset val="1"/>
    </font>
    <font>
      <sz val="11"/>
      <name val="Arial"/>
      <charset val="1"/>
    </font>
    <font>
      <sz val="11"/>
      <color rgb="FF000000"/>
      <name val="Aptos Narrow"/>
      <family val="2"/>
      <scheme val="minor"/>
    </font>
    <font>
      <b/>
      <sz val="12"/>
      <color theme="1"/>
      <name val="Aptos Narrow"/>
      <family val="2"/>
      <scheme val="minor"/>
    </font>
    <font>
      <sz val="11"/>
      <name val="Aptos"/>
      <family val="2"/>
    </font>
    <font>
      <b/>
      <sz val="11"/>
      <name val="Aptos"/>
      <family val="2"/>
    </font>
    <font>
      <u/>
      <sz val="11"/>
      <color rgb="FF215C98"/>
      <name val="Aptos Narrow"/>
      <scheme val="minor"/>
    </font>
    <font>
      <sz val="11"/>
      <color rgb="FF215C98"/>
      <name val="Aptos Narrow"/>
      <scheme val="minor"/>
    </font>
    <font>
      <sz val="12"/>
      <color theme="3" tint="0.249977111117893"/>
      <name val="Aptos Narrow"/>
      <scheme val="minor"/>
    </font>
    <font>
      <sz val="12"/>
      <color rgb="FF000000"/>
      <name val="Aptos Narrow"/>
      <scheme val="minor"/>
    </font>
    <font>
      <b/>
      <sz val="14"/>
      <color rgb="FF000000"/>
      <name val="Aptos Narrow"/>
      <scheme val="minor"/>
    </font>
    <font>
      <b/>
      <sz val="14"/>
      <color theme="1"/>
      <name val="Aptos Narrow"/>
      <family val="2"/>
      <scheme val="minor"/>
    </font>
    <font>
      <b/>
      <sz val="14"/>
      <color theme="1"/>
      <name val="Aptos Narrow"/>
      <scheme val="minor"/>
    </font>
    <font>
      <b/>
      <sz val="14"/>
      <name val="Aptos Narrow"/>
      <scheme val="minor"/>
    </font>
    <font>
      <b/>
      <sz val="14"/>
      <color theme="0"/>
      <name val="Aptos Narrow"/>
      <scheme val="minor"/>
    </font>
    <font>
      <sz val="14"/>
      <color theme="3" tint="0.249977111117893"/>
      <name val="Aptos Narrow"/>
      <family val="2"/>
      <scheme val="minor"/>
    </font>
    <font>
      <u/>
      <sz val="14"/>
      <color theme="3" tint="0.249977111117893"/>
      <name val="Aptos Narrow"/>
      <scheme val="minor"/>
    </font>
    <font>
      <sz val="14"/>
      <color theme="3" tint="0.249977111117893"/>
      <name val="Aptos Narrow"/>
      <scheme val="minor"/>
    </font>
    <font>
      <sz val="14"/>
      <color rgb="FF000000"/>
      <name val="Aptos Narrow"/>
      <scheme val="minor"/>
    </font>
    <font>
      <sz val="14"/>
      <name val="Aptos Narrow"/>
      <family val="2"/>
      <scheme val="minor"/>
    </font>
    <font>
      <sz val="14"/>
      <name val="Aptos Narrow"/>
      <scheme val="minor"/>
    </font>
    <font>
      <sz val="14"/>
      <color theme="1"/>
      <name val="Aptos Narrow"/>
      <scheme val="minor"/>
    </font>
    <font>
      <b/>
      <sz val="18"/>
      <color rgb="FF000000"/>
      <name val="Aptos Narrow"/>
      <scheme val="minor"/>
    </font>
    <font>
      <b/>
      <sz val="16"/>
      <color theme="1"/>
      <name val="Aptos Narrow"/>
      <scheme val="minor"/>
    </font>
  </fonts>
  <fills count="5">
    <fill>
      <patternFill patternType="none"/>
    </fill>
    <fill>
      <patternFill patternType="gray125"/>
    </fill>
    <fill>
      <patternFill patternType="solid">
        <fgColor theme="9" tint="0.59999389629810485"/>
        <bgColor indexed="64"/>
      </patternFill>
    </fill>
    <fill>
      <patternFill patternType="solid">
        <fgColor theme="9" tint="-0.249977111117893"/>
        <bgColor indexed="64"/>
      </patternFill>
    </fill>
    <fill>
      <patternFill patternType="solid">
        <fgColor rgb="FFE8E8E8"/>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medium">
        <color indexed="64"/>
      </right>
      <top style="medium">
        <color indexed="64"/>
      </top>
      <bottom/>
      <diagonal/>
    </border>
    <border>
      <left style="thin">
        <color indexed="64"/>
      </left>
      <right/>
      <top style="thin">
        <color indexed="64"/>
      </top>
      <bottom/>
      <diagonal/>
    </border>
    <border>
      <left style="thin">
        <color indexed="64"/>
      </left>
      <right style="medium">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s>
  <cellStyleXfs count="2">
    <xf numFmtId="0" fontId="0" fillId="0" borderId="0"/>
    <xf numFmtId="44" fontId="1" fillId="0" borderId="0" applyFont="0" applyFill="0" applyBorder="0" applyAlignment="0" applyProtection="0"/>
  </cellStyleXfs>
  <cellXfs count="99">
    <xf numFmtId="0" fontId="0" fillId="0" borderId="0" xfId="0"/>
    <xf numFmtId="0" fontId="4" fillId="2" borderId="1" xfId="0" applyFont="1" applyFill="1" applyBorder="1" applyAlignment="1">
      <alignment horizontal="left" vertical="top" wrapText="1"/>
    </xf>
    <xf numFmtId="0" fontId="5" fillId="0" borderId="0" xfId="0" applyFont="1" applyAlignment="1">
      <alignment horizontal="left" vertical="top"/>
    </xf>
    <xf numFmtId="0" fontId="2" fillId="0" borderId="0" xfId="0" applyFont="1" applyAlignment="1">
      <alignment vertical="top"/>
    </xf>
    <xf numFmtId="0" fontId="4" fillId="2" borderId="1" xfId="0" applyFont="1" applyFill="1" applyBorder="1" applyAlignment="1">
      <alignment horizontal="left" vertical="top"/>
    </xf>
    <xf numFmtId="0" fontId="4" fillId="2" borderId="4" xfId="0" applyFont="1" applyFill="1" applyBorder="1" applyAlignment="1">
      <alignment horizontal="left" vertical="top" wrapText="1"/>
    </xf>
    <xf numFmtId="0" fontId="4" fillId="2" borderId="6" xfId="0" applyFont="1" applyFill="1" applyBorder="1" applyAlignment="1">
      <alignment horizontal="left" vertical="top" wrapText="1"/>
    </xf>
    <xf numFmtId="0" fontId="4" fillId="2" borderId="6" xfId="0" applyFont="1" applyFill="1" applyBorder="1" applyAlignment="1">
      <alignment horizontal="left" vertical="top"/>
    </xf>
    <xf numFmtId="0" fontId="5" fillId="0" borderId="0" xfId="0" applyFont="1" applyAlignment="1">
      <alignment vertical="top"/>
    </xf>
    <xf numFmtId="0" fontId="7" fillId="0" borderId="0" xfId="0" applyFont="1" applyAlignment="1">
      <alignment horizontal="left" vertical="top"/>
    </xf>
    <xf numFmtId="0" fontId="7" fillId="0" borderId="1" xfId="0" applyFont="1" applyBorder="1" applyAlignment="1">
      <alignment horizontal="left" vertical="top" wrapText="1"/>
    </xf>
    <xf numFmtId="0" fontId="7" fillId="0" borderId="1" xfId="0" applyFont="1" applyBorder="1" applyAlignment="1" applyProtection="1">
      <alignment horizontal="left" vertical="top"/>
      <protection locked="0"/>
    </xf>
    <xf numFmtId="0" fontId="7" fillId="0" borderId="0" xfId="0" applyFont="1"/>
    <xf numFmtId="0" fontId="7" fillId="0" borderId="1" xfId="0" applyFont="1" applyBorder="1" applyAlignment="1">
      <alignment horizontal="left" vertical="top"/>
    </xf>
    <xf numFmtId="0" fontId="8" fillId="0" borderId="6" xfId="0" applyFont="1" applyBorder="1" applyAlignment="1">
      <alignment horizontal="left" vertical="top" wrapText="1"/>
    </xf>
    <xf numFmtId="0" fontId="8" fillId="0" borderId="1" xfId="0" applyFont="1" applyBorder="1" applyAlignment="1">
      <alignment horizontal="left" vertical="top" wrapText="1"/>
    </xf>
    <xf numFmtId="0" fontId="8" fillId="0" borderId="7" xfId="0" applyFont="1" applyBorder="1" applyAlignment="1" applyProtection="1">
      <alignment horizontal="left" vertical="top" wrapText="1"/>
      <protection locked="0"/>
    </xf>
    <xf numFmtId="165" fontId="8" fillId="0" borderId="9" xfId="0" applyNumberFormat="1" applyFont="1" applyBorder="1" applyAlignment="1">
      <alignment horizontal="left" vertical="top"/>
    </xf>
    <xf numFmtId="165" fontId="8" fillId="0" borderId="6" xfId="0" applyNumberFormat="1" applyFont="1" applyBorder="1" applyAlignment="1">
      <alignment horizontal="left" vertical="top"/>
    </xf>
    <xf numFmtId="4" fontId="8" fillId="0" borderId="1" xfId="0" applyNumberFormat="1" applyFont="1" applyBorder="1" applyAlignment="1" applyProtection="1">
      <alignment horizontal="left" vertical="top"/>
      <protection locked="0"/>
    </xf>
    <xf numFmtId="0" fontId="5" fillId="0" borderId="6" xfId="0" applyFont="1" applyBorder="1" applyAlignment="1">
      <alignment vertical="top"/>
    </xf>
    <xf numFmtId="0" fontId="0" fillId="0" borderId="0" xfId="0" applyAlignment="1">
      <alignment vertical="top"/>
    </xf>
    <xf numFmtId="0" fontId="6" fillId="0" borderId="1" xfId="0" applyFont="1" applyBorder="1" applyAlignment="1">
      <alignment vertical="top"/>
    </xf>
    <xf numFmtId="0" fontId="5" fillId="0" borderId="9" xfId="0" applyFont="1" applyBorder="1" applyAlignment="1">
      <alignment vertical="top"/>
    </xf>
    <xf numFmtId="0" fontId="5" fillId="0" borderId="0" xfId="0" applyFont="1"/>
    <xf numFmtId="0" fontId="12" fillId="0" borderId="1" xfId="0" applyFont="1" applyBorder="1" applyAlignment="1" applyProtection="1">
      <alignment horizontal="left" vertical="top" wrapText="1"/>
      <protection locked="0"/>
    </xf>
    <xf numFmtId="0" fontId="13" fillId="0" borderId="0" xfId="0" applyFont="1"/>
    <xf numFmtId="0" fontId="10" fillId="0" borderId="12" xfId="0" applyFont="1" applyBorder="1" applyAlignment="1">
      <alignment horizontal="center" vertical="center" wrapText="1" readingOrder="1"/>
    </xf>
    <xf numFmtId="0" fontId="10" fillId="0" borderId="13" xfId="0" applyFont="1" applyBorder="1" applyAlignment="1">
      <alignment vertical="center" wrapText="1" readingOrder="1"/>
    </xf>
    <xf numFmtId="0" fontId="10" fillId="0" borderId="14" xfId="0" applyFont="1" applyBorder="1" applyAlignment="1">
      <alignment horizontal="center" vertical="center" wrapText="1" readingOrder="1"/>
    </xf>
    <xf numFmtId="0" fontId="10" fillId="0" borderId="15" xfId="0" applyFont="1" applyBorder="1" applyAlignment="1">
      <alignment vertical="center" wrapText="1" readingOrder="1"/>
    </xf>
    <xf numFmtId="0" fontId="14" fillId="0" borderId="13" xfId="0" applyFont="1" applyBorder="1" applyAlignment="1">
      <alignment vertical="center" wrapText="1" readingOrder="1"/>
    </xf>
    <xf numFmtId="0" fontId="5" fillId="0" borderId="1" xfId="0" applyFont="1" applyBorder="1" applyAlignment="1">
      <alignment horizontal="left" vertical="top" wrapText="1"/>
    </xf>
    <xf numFmtId="0" fontId="17" fillId="0" borderId="6" xfId="0" applyFont="1" applyBorder="1" applyAlignment="1">
      <alignment horizontal="left" vertical="top" wrapText="1"/>
    </xf>
    <xf numFmtId="0" fontId="7" fillId="0" borderId="1" xfId="0" applyFont="1" applyBorder="1" applyAlignment="1" applyProtection="1">
      <alignment horizontal="left" vertical="top" wrapText="1"/>
      <protection locked="0"/>
    </xf>
    <xf numFmtId="0" fontId="6" fillId="0" borderId="1" xfId="0" applyFont="1" applyBorder="1" applyAlignment="1">
      <alignment vertical="top" wrapText="1"/>
    </xf>
    <xf numFmtId="0" fontId="6" fillId="0" borderId="7" xfId="0" applyFont="1" applyBorder="1" applyAlignment="1">
      <alignment vertical="top" wrapText="1"/>
    </xf>
    <xf numFmtId="0" fontId="5" fillId="0" borderId="16" xfId="0" applyFont="1" applyBorder="1" applyAlignment="1">
      <alignment vertical="top"/>
    </xf>
    <xf numFmtId="0" fontId="2" fillId="0" borderId="1" xfId="0" applyFont="1" applyBorder="1" applyAlignment="1">
      <alignment vertical="top"/>
    </xf>
    <xf numFmtId="0" fontId="0" fillId="0" borderId="1" xfId="0" applyBorder="1" applyAlignment="1">
      <alignment vertical="top"/>
    </xf>
    <xf numFmtId="0" fontId="6" fillId="0" borderId="8" xfId="0" applyFont="1" applyBorder="1" applyAlignment="1">
      <alignment vertical="top" wrapText="1"/>
    </xf>
    <xf numFmtId="0" fontId="6" fillId="0" borderId="4" xfId="0" applyFont="1" applyBorder="1" applyAlignment="1">
      <alignment vertical="top" wrapText="1"/>
    </xf>
    <xf numFmtId="0" fontId="5" fillId="0" borderId="10" xfId="0" applyFont="1" applyBorder="1" applyAlignment="1">
      <alignment vertical="top" wrapText="1"/>
    </xf>
    <xf numFmtId="0" fontId="5" fillId="0" borderId="16" xfId="0" applyFont="1" applyBorder="1" applyAlignment="1">
      <alignment vertical="top" wrapText="1"/>
    </xf>
    <xf numFmtId="0" fontId="5" fillId="0" borderId="0" xfId="0" applyFont="1" applyAlignment="1">
      <alignment vertical="top" wrapText="1"/>
    </xf>
    <xf numFmtId="0" fontId="18" fillId="0" borderId="0" xfId="0" applyFont="1" applyAlignment="1">
      <alignment horizontal="left" vertical="top"/>
    </xf>
    <xf numFmtId="0" fontId="19" fillId="0" borderId="0" xfId="0" applyFont="1" applyAlignment="1">
      <alignment vertical="top" wrapText="1"/>
    </xf>
    <xf numFmtId="0" fontId="7" fillId="0" borderId="0" xfId="0" applyFont="1" applyAlignment="1">
      <alignment vertical="top" wrapText="1"/>
    </xf>
    <xf numFmtId="0" fontId="20" fillId="2" borderId="1" xfId="0" applyFont="1" applyFill="1" applyBorder="1" applyAlignment="1">
      <alignment horizontal="left" vertical="top" wrapText="1"/>
    </xf>
    <xf numFmtId="0" fontId="21" fillId="2" borderId="1" xfId="0" applyFont="1" applyFill="1" applyBorder="1" applyAlignment="1">
      <alignment horizontal="left" vertical="top" wrapText="1"/>
    </xf>
    <xf numFmtId="0" fontId="22" fillId="2" borderId="1" xfId="0" applyFont="1" applyFill="1" applyBorder="1" applyAlignment="1">
      <alignment horizontal="left" vertical="top" wrapText="1"/>
    </xf>
    <xf numFmtId="164" fontId="22" fillId="2" borderId="1" xfId="1" applyNumberFormat="1" applyFont="1" applyFill="1" applyBorder="1" applyAlignment="1">
      <alignment horizontal="left" vertical="top" wrapText="1"/>
    </xf>
    <xf numFmtId="0" fontId="23" fillId="2" borderId="1" xfId="0" applyFont="1" applyFill="1" applyBorder="1" applyAlignment="1">
      <alignment horizontal="left" vertical="top" wrapText="1"/>
    </xf>
    <xf numFmtId="0" fontId="22" fillId="2" borderId="2" xfId="0" applyFont="1" applyFill="1" applyBorder="1" applyAlignment="1">
      <alignment horizontal="left" vertical="top" wrapText="1"/>
    </xf>
    <xf numFmtId="0" fontId="22" fillId="2" borderId="3" xfId="0" applyFont="1" applyFill="1" applyBorder="1" applyAlignment="1">
      <alignment horizontal="left" vertical="top" wrapText="1"/>
    </xf>
    <xf numFmtId="0" fontId="24" fillId="3" borderId="1" xfId="0" applyFont="1" applyFill="1" applyBorder="1" applyAlignment="1">
      <alignment horizontal="center" vertical="center" wrapText="1"/>
    </xf>
    <xf numFmtId="0" fontId="24" fillId="3" borderId="8" xfId="0" applyFont="1" applyFill="1" applyBorder="1" applyAlignment="1">
      <alignment horizontal="center" vertical="center" wrapText="1"/>
    </xf>
    <xf numFmtId="164" fontId="24" fillId="3" borderId="1" xfId="1" applyNumberFormat="1" applyFont="1" applyFill="1" applyBorder="1" applyAlignment="1">
      <alignment horizontal="center" vertical="center" wrapText="1"/>
    </xf>
    <xf numFmtId="164" fontId="24" fillId="3" borderId="8" xfId="1" applyNumberFormat="1" applyFont="1" applyFill="1" applyBorder="1" applyAlignment="1">
      <alignment horizontal="center" vertical="center" wrapText="1"/>
    </xf>
    <xf numFmtId="0" fontId="24" fillId="3" borderId="4" xfId="0" applyFont="1" applyFill="1" applyBorder="1" applyAlignment="1">
      <alignment horizontal="center" vertical="center" wrapText="1"/>
    </xf>
    <xf numFmtId="0" fontId="24" fillId="3" borderId="5" xfId="0" applyFont="1" applyFill="1" applyBorder="1" applyAlignment="1">
      <alignment horizontal="center" vertical="center" wrapText="1"/>
    </xf>
    <xf numFmtId="0" fontId="25" fillId="0" borderId="6" xfId="0" applyFont="1" applyBorder="1" applyAlignment="1">
      <alignment horizontal="left" vertical="top" wrapText="1"/>
    </xf>
    <xf numFmtId="0" fontId="27" fillId="0" borderId="1" xfId="0" applyFont="1" applyBorder="1" applyAlignment="1">
      <alignment horizontal="left" vertical="top" wrapText="1"/>
    </xf>
    <xf numFmtId="0" fontId="3" fillId="0" borderId="1" xfId="0" applyFont="1" applyBorder="1" applyAlignment="1" applyProtection="1">
      <alignment horizontal="left" vertical="top" wrapText="1"/>
      <protection locked="0"/>
    </xf>
    <xf numFmtId="0" fontId="27" fillId="0" borderId="7" xfId="0" applyFont="1" applyBorder="1" applyAlignment="1" applyProtection="1">
      <alignment horizontal="left" vertical="top" wrapText="1"/>
      <protection locked="0"/>
    </xf>
    <xf numFmtId="0" fontId="27" fillId="0" borderId="6" xfId="0" applyFont="1" applyBorder="1" applyAlignment="1">
      <alignment horizontal="left" vertical="top" wrapText="1"/>
    </xf>
    <xf numFmtId="165" fontId="27" fillId="0" borderId="9" xfId="0" applyNumberFormat="1" applyFont="1" applyBorder="1" applyAlignment="1">
      <alignment horizontal="left" vertical="top"/>
    </xf>
    <xf numFmtId="4" fontId="27" fillId="0" borderId="1" xfId="0" applyNumberFormat="1" applyFont="1" applyBorder="1" applyAlignment="1" applyProtection="1">
      <alignment horizontal="left" vertical="top"/>
      <protection locked="0"/>
    </xf>
    <xf numFmtId="165" fontId="27" fillId="0" borderId="6" xfId="0" applyNumberFormat="1" applyFont="1" applyBorder="1" applyAlignment="1">
      <alignment horizontal="left" vertical="top"/>
    </xf>
    <xf numFmtId="14" fontId="27" fillId="0" borderId="6" xfId="0" applyNumberFormat="1" applyFont="1" applyBorder="1" applyAlignment="1">
      <alignment horizontal="left" vertical="top"/>
    </xf>
    <xf numFmtId="0" fontId="27" fillId="0" borderId="6" xfId="0" applyFont="1" applyBorder="1" applyAlignment="1">
      <alignment horizontal="left" vertical="top"/>
    </xf>
    <xf numFmtId="0" fontId="28" fillId="0" borderId="1" xfId="0" applyFont="1" applyBorder="1" applyAlignment="1">
      <alignment vertical="top" wrapText="1"/>
    </xf>
    <xf numFmtId="0" fontId="28" fillId="0" borderId="1" xfId="0" applyFont="1" applyBorder="1" applyAlignment="1" applyProtection="1">
      <alignment vertical="top" wrapText="1"/>
      <protection locked="0"/>
    </xf>
    <xf numFmtId="0" fontId="28" fillId="0" borderId="7" xfId="0" applyFont="1" applyBorder="1" applyAlignment="1" applyProtection="1">
      <alignment vertical="top" wrapText="1"/>
      <protection locked="0"/>
    </xf>
    <xf numFmtId="0" fontId="28" fillId="0" borderId="6" xfId="0" applyFont="1" applyBorder="1" applyAlignment="1">
      <alignment vertical="top" wrapText="1"/>
    </xf>
    <xf numFmtId="0" fontId="3" fillId="0" borderId="6" xfId="0" applyFont="1" applyBorder="1" applyAlignment="1">
      <alignment vertical="top" wrapText="1"/>
    </xf>
    <xf numFmtId="165" fontId="28" fillId="0" borderId="9" xfId="0" applyNumberFormat="1" applyFont="1" applyBorder="1" applyAlignment="1">
      <alignment vertical="top" wrapText="1"/>
    </xf>
    <xf numFmtId="4" fontId="28" fillId="0" borderId="1" xfId="0" applyNumberFormat="1" applyFont="1" applyBorder="1" applyAlignment="1" applyProtection="1">
      <alignment vertical="top" wrapText="1"/>
      <protection locked="0"/>
    </xf>
    <xf numFmtId="165" fontId="3" fillId="0" borderId="6" xfId="0" applyNumberFormat="1" applyFont="1" applyBorder="1" applyAlignment="1">
      <alignment vertical="top" wrapText="1"/>
    </xf>
    <xf numFmtId="14" fontId="28" fillId="0" borderId="6" xfId="0" applyNumberFormat="1" applyFont="1" applyBorder="1" applyAlignment="1">
      <alignment vertical="top" wrapText="1"/>
    </xf>
    <xf numFmtId="0" fontId="29" fillId="0" borderId="6" xfId="0" applyFont="1" applyBorder="1" applyAlignment="1">
      <alignment vertical="top" wrapText="1"/>
    </xf>
    <xf numFmtId="4" fontId="29" fillId="0" borderId="1" xfId="0" applyNumberFormat="1" applyFont="1" applyBorder="1" applyAlignment="1" applyProtection="1">
      <alignment vertical="top" wrapText="1"/>
      <protection locked="0"/>
    </xf>
    <xf numFmtId="0" fontId="2" fillId="0" borderId="0" xfId="0" applyFont="1" applyAlignment="1">
      <alignment vertical="top" wrapText="1"/>
    </xf>
    <xf numFmtId="0" fontId="3" fillId="0" borderId="7" xfId="0" applyFont="1" applyBorder="1" applyAlignment="1" applyProtection="1">
      <alignment vertical="top" wrapText="1"/>
      <protection locked="0"/>
    </xf>
    <xf numFmtId="165" fontId="3" fillId="0" borderId="9" xfId="0" applyNumberFormat="1" applyFont="1" applyBorder="1" applyAlignment="1">
      <alignment vertical="top" wrapText="1"/>
    </xf>
    <xf numFmtId="0" fontId="27" fillId="0" borderId="6" xfId="0" applyFont="1" applyBorder="1" applyAlignment="1">
      <alignment vertical="top" wrapText="1"/>
    </xf>
    <xf numFmtId="4" fontId="27" fillId="0" borderId="1" xfId="0" applyNumberFormat="1" applyFont="1" applyBorder="1" applyAlignment="1" applyProtection="1">
      <alignment vertical="top" wrapText="1"/>
      <protection locked="0"/>
    </xf>
    <xf numFmtId="165" fontId="28" fillId="0" borderId="6" xfId="0" applyNumberFormat="1" applyFont="1" applyBorder="1" applyAlignment="1">
      <alignment vertical="top" wrapText="1"/>
    </xf>
    <xf numFmtId="0" fontId="30" fillId="0" borderId="6" xfId="0" applyFont="1" applyBorder="1" applyAlignment="1">
      <alignment vertical="top" wrapText="1"/>
    </xf>
    <xf numFmtId="4" fontId="30" fillId="0" borderId="1" xfId="0" applyNumberFormat="1" applyFont="1" applyBorder="1" applyAlignment="1" applyProtection="1">
      <alignment vertical="top" wrapText="1"/>
      <protection locked="0"/>
    </xf>
    <xf numFmtId="0" fontId="31" fillId="0" borderId="0" xfId="0" applyFont="1" applyAlignment="1">
      <alignment vertical="top" wrapText="1"/>
    </xf>
    <xf numFmtId="14" fontId="31" fillId="0" borderId="0" xfId="0" applyNumberFormat="1" applyFont="1" applyAlignment="1">
      <alignment vertical="top" wrapText="1"/>
    </xf>
    <xf numFmtId="0" fontId="31" fillId="0" borderId="0" xfId="0" applyFont="1"/>
    <xf numFmtId="17" fontId="31" fillId="0" borderId="0" xfId="0" applyNumberFormat="1" applyFont="1" applyAlignment="1">
      <alignment vertical="top" wrapText="1"/>
    </xf>
    <xf numFmtId="0" fontId="9" fillId="4" borderId="10" xfId="0" applyFont="1" applyFill="1" applyBorder="1" applyAlignment="1">
      <alignment wrapText="1" readingOrder="1"/>
    </xf>
    <xf numFmtId="0" fontId="9" fillId="4" borderId="11" xfId="0" applyFont="1" applyFill="1" applyBorder="1" applyAlignment="1">
      <alignment wrapText="1" readingOrder="1"/>
    </xf>
    <xf numFmtId="0" fontId="15" fillId="4" borderId="12" xfId="0" applyFont="1" applyFill="1" applyBorder="1" applyAlignment="1">
      <alignment wrapText="1" readingOrder="1"/>
    </xf>
    <xf numFmtId="0" fontId="9" fillId="4" borderId="13" xfId="0" applyFont="1" applyFill="1" applyBorder="1" applyAlignment="1">
      <alignment wrapText="1" readingOrder="1"/>
    </xf>
    <xf numFmtId="0" fontId="3" fillId="0" borderId="0" xfId="0" applyFont="1" applyAlignment="1">
      <alignment horizontal="left" vertical="top" wrapText="1"/>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EBD25-DE04-4F53-B3CC-340347E5C23C}">
  <dimension ref="A1:B35"/>
  <sheetViews>
    <sheetView topLeftCell="A28" workbookViewId="0">
      <selection activeCell="B35" sqref="B35"/>
    </sheetView>
  </sheetViews>
  <sheetFormatPr defaultRowHeight="14.5" x14ac:dyDescent="0.35"/>
  <cols>
    <col min="1" max="1" width="5.6328125" customWidth="1"/>
    <col min="2" max="2" width="88.26953125" customWidth="1"/>
  </cols>
  <sheetData>
    <row r="1" spans="1:2" s="24" customFormat="1" ht="16" x14ac:dyDescent="0.4">
      <c r="A1" s="26" t="s">
        <v>0</v>
      </c>
    </row>
    <row r="2" spans="1:2" s="24" customFormat="1" ht="16" x14ac:dyDescent="0.4">
      <c r="A2" s="24" t="s">
        <v>1</v>
      </c>
    </row>
    <row r="3" spans="1:2" s="24" customFormat="1" ht="16" x14ac:dyDescent="0.4">
      <c r="A3" s="24" t="s">
        <v>2</v>
      </c>
    </row>
    <row r="4" spans="1:2" s="24" customFormat="1" ht="16" x14ac:dyDescent="0.4"/>
    <row r="5" spans="1:2" s="24" customFormat="1" ht="16" x14ac:dyDescent="0.4">
      <c r="A5" s="26" t="s">
        <v>3</v>
      </c>
    </row>
    <row r="6" spans="1:2" s="24" customFormat="1" ht="16" x14ac:dyDescent="0.4">
      <c r="A6" s="24" t="s">
        <v>4</v>
      </c>
    </row>
    <row r="7" spans="1:2" ht="16" x14ac:dyDescent="0.4">
      <c r="A7" s="24" t="s">
        <v>5</v>
      </c>
    </row>
    <row r="8" spans="1:2" s="24" customFormat="1" ht="16" x14ac:dyDescent="0.4">
      <c r="A8" s="24" t="s">
        <v>6</v>
      </c>
    </row>
    <row r="10" spans="1:2" x14ac:dyDescent="0.35">
      <c r="A10" s="94" t="s">
        <v>7</v>
      </c>
      <c r="B10" s="95"/>
    </row>
    <row r="11" spans="1:2" ht="28.5" customHeight="1" x14ac:dyDescent="0.35">
      <c r="A11" s="27" t="s">
        <v>8</v>
      </c>
      <c r="B11" s="28" t="s">
        <v>9</v>
      </c>
    </row>
    <row r="12" spans="1:2" ht="39" customHeight="1" x14ac:dyDescent="0.35">
      <c r="A12" s="27" t="s">
        <v>10</v>
      </c>
      <c r="B12" s="28" t="s">
        <v>11</v>
      </c>
    </row>
    <row r="13" spans="1:2" ht="26.25" customHeight="1" x14ac:dyDescent="0.35">
      <c r="A13" s="27" t="s">
        <v>12</v>
      </c>
      <c r="B13" s="28" t="s">
        <v>13</v>
      </c>
    </row>
    <row r="14" spans="1:2" x14ac:dyDescent="0.35">
      <c r="A14" s="96" t="s">
        <v>14</v>
      </c>
      <c r="B14" s="97"/>
    </row>
    <row r="15" spans="1:2" ht="35.25" customHeight="1" x14ac:dyDescent="0.35">
      <c r="A15" s="27" t="s">
        <v>8</v>
      </c>
      <c r="B15" s="28" t="s">
        <v>15</v>
      </c>
    </row>
    <row r="16" spans="1:2" ht="24.75" customHeight="1" x14ac:dyDescent="0.35">
      <c r="A16" s="27" t="s">
        <v>10</v>
      </c>
      <c r="B16" s="31" t="s">
        <v>16</v>
      </c>
    </row>
    <row r="17" spans="1:2" ht="43.5" x14ac:dyDescent="0.35">
      <c r="A17" s="27" t="s">
        <v>12</v>
      </c>
      <c r="B17" s="28" t="s">
        <v>17</v>
      </c>
    </row>
    <row r="18" spans="1:2" ht="37.5" customHeight="1" x14ac:dyDescent="0.35">
      <c r="A18" s="27" t="s">
        <v>18</v>
      </c>
      <c r="B18" s="28" t="s">
        <v>19</v>
      </c>
    </row>
    <row r="19" spans="1:2" ht="44.5" customHeight="1" x14ac:dyDescent="0.35">
      <c r="A19" s="29" t="s">
        <v>20</v>
      </c>
      <c r="B19" s="30" t="s">
        <v>21</v>
      </c>
    </row>
    <row r="21" spans="1:2" s="24" customFormat="1" ht="16" x14ac:dyDescent="0.4">
      <c r="A21" s="26" t="s">
        <v>22</v>
      </c>
    </row>
    <row r="22" spans="1:2" ht="16" x14ac:dyDescent="0.4">
      <c r="A22" s="24" t="s">
        <v>23</v>
      </c>
    </row>
    <row r="23" spans="1:2" ht="16" x14ac:dyDescent="0.4">
      <c r="A23" s="24" t="s">
        <v>24</v>
      </c>
    </row>
    <row r="25" spans="1:2" s="24" customFormat="1" ht="16" x14ac:dyDescent="0.4">
      <c r="A25" s="26" t="s">
        <v>25</v>
      </c>
    </row>
    <row r="26" spans="1:2" s="24" customFormat="1" ht="16" x14ac:dyDescent="0.4">
      <c r="A26" s="24" t="s">
        <v>26</v>
      </c>
    </row>
    <row r="27" spans="1:2" ht="16" x14ac:dyDescent="0.4">
      <c r="A27" s="24" t="s">
        <v>27</v>
      </c>
    </row>
    <row r="28" spans="1:2" ht="16" x14ac:dyDescent="0.4">
      <c r="A28" s="24"/>
    </row>
    <row r="29" spans="1:2" ht="16" x14ac:dyDescent="0.4">
      <c r="A29" s="26" t="s">
        <v>28</v>
      </c>
      <c r="B29" s="24"/>
    </row>
    <row r="30" spans="1:2" ht="16" x14ac:dyDescent="0.4">
      <c r="A30" s="24" t="s">
        <v>29</v>
      </c>
      <c r="B30" s="24"/>
    </row>
    <row r="32" spans="1:2" ht="16" x14ac:dyDescent="0.4">
      <c r="A32" s="26" t="s">
        <v>30</v>
      </c>
      <c r="B32" s="24"/>
    </row>
    <row r="33" spans="1:1" ht="16" x14ac:dyDescent="0.4">
      <c r="A33" s="24" t="s">
        <v>31</v>
      </c>
    </row>
    <row r="35" spans="1:1" x14ac:dyDescent="0.35">
      <c r="A35" t="s">
        <v>32</v>
      </c>
    </row>
  </sheetData>
  <mergeCells count="2">
    <mergeCell ref="A10:B10"/>
    <mergeCell ref="A14:B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0488A-0881-46DF-A79B-983F0F5E10DF}">
  <dimension ref="A1:B15"/>
  <sheetViews>
    <sheetView topLeftCell="A4" zoomScaleNormal="100" workbookViewId="0">
      <selection activeCell="B1" sqref="B1"/>
    </sheetView>
  </sheetViews>
  <sheetFormatPr defaultColWidth="9.08984375" defaultRowHeight="37.4" customHeight="1" x14ac:dyDescent="0.4"/>
  <cols>
    <col min="1" max="1" width="39.36328125" style="9" customWidth="1"/>
    <col min="2" max="2" width="57.6328125" style="9" customWidth="1"/>
    <col min="3" max="16384" width="9.08984375" style="12"/>
  </cols>
  <sheetData>
    <row r="1" spans="1:2" ht="24.65" customHeight="1" x14ac:dyDescent="0.4">
      <c r="A1" s="10" t="s">
        <v>33</v>
      </c>
      <c r="B1" s="11" t="s">
        <v>130</v>
      </c>
    </row>
    <row r="2" spans="1:2" ht="29.5" customHeight="1" x14ac:dyDescent="0.4">
      <c r="A2" s="10" t="s">
        <v>34</v>
      </c>
      <c r="B2" s="11" t="s">
        <v>118</v>
      </c>
    </row>
    <row r="3" spans="1:2" ht="29.5" customHeight="1" x14ac:dyDescent="0.4">
      <c r="A3" s="10" t="s">
        <v>35</v>
      </c>
      <c r="B3" s="11" t="s">
        <v>119</v>
      </c>
    </row>
    <row r="4" spans="1:2" ht="29.5" customHeight="1" x14ac:dyDescent="0.4">
      <c r="A4" s="10" t="s">
        <v>36</v>
      </c>
      <c r="B4" s="11">
        <v>471302</v>
      </c>
    </row>
    <row r="5" spans="1:2" ht="29.5" customHeight="1" x14ac:dyDescent="0.4">
      <c r="A5" s="10" t="s">
        <v>37</v>
      </c>
      <c r="B5" s="11" t="s">
        <v>121</v>
      </c>
    </row>
    <row r="6" spans="1:2" ht="29.5" customHeight="1" x14ac:dyDescent="0.4">
      <c r="A6" s="10" t="s">
        <v>38</v>
      </c>
      <c r="B6" s="11" t="s">
        <v>120</v>
      </c>
    </row>
    <row r="7" spans="1:2" ht="29.5" customHeight="1" x14ac:dyDescent="0.4">
      <c r="A7" s="10" t="s">
        <v>39</v>
      </c>
      <c r="B7" s="11" t="s">
        <v>125</v>
      </c>
    </row>
    <row r="8" spans="1:2" ht="29.5" customHeight="1" x14ac:dyDescent="0.4">
      <c r="A8" s="10" t="s">
        <v>40</v>
      </c>
      <c r="B8" s="11" t="s">
        <v>126</v>
      </c>
    </row>
    <row r="9" spans="1:2" ht="29.5" customHeight="1" x14ac:dyDescent="0.4">
      <c r="A9" s="10" t="s">
        <v>41</v>
      </c>
      <c r="B9" s="34" t="s">
        <v>129</v>
      </c>
    </row>
    <row r="10" spans="1:2" ht="29.5" customHeight="1" x14ac:dyDescent="0.4">
      <c r="A10" s="10" t="s">
        <v>42</v>
      </c>
      <c r="B10" s="11" t="s">
        <v>127</v>
      </c>
    </row>
    <row r="11" spans="1:2" ht="46.4" customHeight="1" x14ac:dyDescent="0.4">
      <c r="A11" s="32" t="s">
        <v>43</v>
      </c>
      <c r="B11" s="11" t="s">
        <v>128</v>
      </c>
    </row>
    <row r="12" spans="1:2" ht="29.5" customHeight="1" x14ac:dyDescent="0.4">
      <c r="A12" s="10" t="s">
        <v>44</v>
      </c>
      <c r="B12" s="11" t="s">
        <v>122</v>
      </c>
    </row>
    <row r="13" spans="1:2" ht="41.5" customHeight="1" x14ac:dyDescent="0.4">
      <c r="A13" s="10" t="s">
        <v>45</v>
      </c>
      <c r="B13" s="11" t="s">
        <v>123</v>
      </c>
    </row>
    <row r="14" spans="1:2" ht="29.5" customHeight="1" x14ac:dyDescent="0.4">
      <c r="A14" s="10" t="s">
        <v>46</v>
      </c>
      <c r="B14" s="11">
        <v>35</v>
      </c>
    </row>
    <row r="15" spans="1:2" ht="29.5" customHeight="1" x14ac:dyDescent="0.4">
      <c r="A15" s="13" t="s">
        <v>47</v>
      </c>
      <c r="B15" s="11" t="s">
        <v>124</v>
      </c>
    </row>
  </sheetData>
  <pageMargins left="0.25" right="0.25" top="0.75" bottom="0.75" header="0.3" footer="0.3"/>
  <pageSetup orientation="landscape" r:id="rId1"/>
  <headerFooter>
    <oddHeader>&amp;C&amp;G</oddHead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0F900-CA8E-4704-8C53-4BD6036D9EFE}">
  <dimension ref="A1:P26"/>
  <sheetViews>
    <sheetView tabSelected="1" zoomScale="70" zoomScaleNormal="70" workbookViewId="0">
      <pane xSplit="1" ySplit="2" topLeftCell="B3" activePane="bottomRight" state="frozen"/>
      <selection pane="topRight" activeCell="B1" sqref="B1"/>
      <selection pane="bottomLeft" activeCell="A3" sqref="A3"/>
      <selection pane="bottomRight" activeCell="P11" sqref="P11"/>
    </sheetView>
  </sheetViews>
  <sheetFormatPr defaultColWidth="9.08984375" defaultRowHeight="15" customHeight="1" x14ac:dyDescent="0.4"/>
  <cols>
    <col min="1" max="1" width="55.7265625" style="12" customWidth="1"/>
    <col min="2" max="2" width="17.36328125" style="12" customWidth="1"/>
    <col min="3" max="3" width="15.90625" style="12" customWidth="1"/>
    <col min="4" max="4" width="59.08984375" style="12" customWidth="1"/>
    <col min="5" max="5" width="38.90625" style="12" customWidth="1"/>
    <col min="6" max="6" width="39.90625" style="12" customWidth="1"/>
    <col min="7" max="7" width="41.36328125" style="12" customWidth="1"/>
    <col min="8" max="8" width="20" style="12" customWidth="1"/>
    <col min="9" max="9" width="43.90625" style="12" customWidth="1"/>
    <col min="10" max="10" width="30.7265625" style="12" customWidth="1"/>
    <col min="11" max="11" width="55.08984375" style="12" customWidth="1"/>
    <col min="12" max="12" width="17.08984375" style="12" customWidth="1"/>
    <col min="13" max="13" width="28" style="12" customWidth="1"/>
    <col min="14" max="14" width="91" style="12" customWidth="1"/>
    <col min="15" max="15" width="32.7265625" style="12" customWidth="1"/>
    <col min="16" max="16" width="92.6328125" style="12" customWidth="1"/>
    <col min="17" max="16384" width="9.08984375" style="12"/>
  </cols>
  <sheetData>
    <row r="1" spans="1:16" s="9" customFormat="1" ht="153.75" customHeight="1" x14ac:dyDescent="0.35">
      <c r="A1" s="48" t="s">
        <v>48</v>
      </c>
      <c r="B1" s="48" t="s">
        <v>49</v>
      </c>
      <c r="C1" s="48" t="s">
        <v>50</v>
      </c>
      <c r="D1" s="49" t="s">
        <v>51</v>
      </c>
      <c r="E1" s="50" t="s">
        <v>52</v>
      </c>
      <c r="F1" s="50" t="s">
        <v>53</v>
      </c>
      <c r="G1" s="51" t="s">
        <v>54</v>
      </c>
      <c r="H1" s="52" t="s">
        <v>55</v>
      </c>
      <c r="I1" s="51" t="s">
        <v>56</v>
      </c>
      <c r="J1" s="52" t="s">
        <v>57</v>
      </c>
      <c r="K1" s="52" t="s">
        <v>58</v>
      </c>
      <c r="L1" s="52" t="s">
        <v>59</v>
      </c>
      <c r="M1" s="52" t="s">
        <v>60</v>
      </c>
      <c r="N1" s="53" t="s">
        <v>61</v>
      </c>
      <c r="O1" s="53" t="s">
        <v>62</v>
      </c>
      <c r="P1" s="54" t="s">
        <v>63</v>
      </c>
    </row>
    <row r="2" spans="1:16" ht="33" customHeight="1" x14ac:dyDescent="0.4">
      <c r="A2" s="55" t="s">
        <v>64</v>
      </c>
      <c r="B2" s="55" t="s">
        <v>65</v>
      </c>
      <c r="C2" s="55" t="s">
        <v>66</v>
      </c>
      <c r="D2" s="55" t="s">
        <v>67</v>
      </c>
      <c r="E2" s="56" t="s">
        <v>68</v>
      </c>
      <c r="F2" s="56" t="s">
        <v>69</v>
      </c>
      <c r="G2" s="57" t="s">
        <v>70</v>
      </c>
      <c r="H2" s="55" t="s">
        <v>71</v>
      </c>
      <c r="I2" s="58" t="s">
        <v>72</v>
      </c>
      <c r="J2" s="55" t="s">
        <v>73</v>
      </c>
      <c r="K2" s="55" t="s">
        <v>74</v>
      </c>
      <c r="L2" s="55" t="s">
        <v>75</v>
      </c>
      <c r="M2" s="55" t="s">
        <v>76</v>
      </c>
      <c r="N2" s="59" t="s">
        <v>77</v>
      </c>
      <c r="O2" s="59" t="s">
        <v>78</v>
      </c>
      <c r="P2" s="60" t="s">
        <v>79</v>
      </c>
    </row>
    <row r="3" spans="1:16" s="45" customFormat="1" ht="271.5" customHeight="1" x14ac:dyDescent="0.35">
      <c r="A3" s="61" t="s">
        <v>232</v>
      </c>
      <c r="B3" s="62" t="s">
        <v>80</v>
      </c>
      <c r="C3" s="63" t="s">
        <v>81</v>
      </c>
      <c r="D3" s="64" t="s">
        <v>82</v>
      </c>
      <c r="E3" s="65" t="s">
        <v>83</v>
      </c>
      <c r="F3" s="65" t="s">
        <v>84</v>
      </c>
      <c r="G3" s="66">
        <v>1000000</v>
      </c>
      <c r="H3" s="67" t="s">
        <v>146</v>
      </c>
      <c r="I3" s="68"/>
      <c r="J3" s="65" t="s">
        <v>85</v>
      </c>
      <c r="K3" s="69">
        <v>46048</v>
      </c>
      <c r="L3" s="69">
        <v>46332</v>
      </c>
      <c r="M3" s="70" t="s">
        <v>86</v>
      </c>
      <c r="N3" s="70"/>
      <c r="O3" s="67"/>
      <c r="P3" s="65" t="s">
        <v>87</v>
      </c>
    </row>
    <row r="4" spans="1:16" s="46" customFormat="1" ht="170.5" customHeight="1" x14ac:dyDescent="0.35">
      <c r="A4" s="90" t="s">
        <v>156</v>
      </c>
      <c r="B4" s="71" t="s">
        <v>140</v>
      </c>
      <c r="C4" s="72" t="s">
        <v>141</v>
      </c>
      <c r="D4" s="73" t="s">
        <v>157</v>
      </c>
      <c r="E4" s="74" t="s">
        <v>151</v>
      </c>
      <c r="F4" s="75" t="s">
        <v>158</v>
      </c>
      <c r="G4" s="76">
        <v>153846</v>
      </c>
      <c r="H4" s="77" t="s">
        <v>131</v>
      </c>
      <c r="I4" s="78" t="s">
        <v>216</v>
      </c>
      <c r="J4" s="75" t="s">
        <v>132</v>
      </c>
      <c r="K4" s="79">
        <v>46082</v>
      </c>
      <c r="L4" s="79">
        <v>46295</v>
      </c>
      <c r="M4" s="75" t="s">
        <v>257</v>
      </c>
      <c r="N4" s="80" t="s">
        <v>262</v>
      </c>
      <c r="O4" s="81" t="s">
        <v>133</v>
      </c>
      <c r="P4" s="75" t="s">
        <v>134</v>
      </c>
    </row>
    <row r="5" spans="1:16" s="46" customFormat="1" ht="300" customHeight="1" x14ac:dyDescent="0.35">
      <c r="A5" s="82" t="s">
        <v>249</v>
      </c>
      <c r="B5" s="71" t="s">
        <v>140</v>
      </c>
      <c r="C5" s="72" t="s">
        <v>78</v>
      </c>
      <c r="D5" s="83" t="s">
        <v>258</v>
      </c>
      <c r="E5" s="75" t="s">
        <v>259</v>
      </c>
      <c r="F5" s="75"/>
      <c r="G5" s="84"/>
      <c r="H5" s="77"/>
      <c r="I5" s="78"/>
      <c r="J5" s="82" t="s">
        <v>142</v>
      </c>
      <c r="K5" s="79"/>
      <c r="L5" s="79"/>
      <c r="M5" s="74"/>
      <c r="N5" s="85"/>
      <c r="O5" s="86"/>
      <c r="P5" s="74"/>
    </row>
    <row r="6" spans="1:16" s="46" customFormat="1" ht="230.5" customHeight="1" x14ac:dyDescent="0.35">
      <c r="A6" s="74" t="s">
        <v>143</v>
      </c>
      <c r="B6" s="71" t="s">
        <v>80</v>
      </c>
      <c r="C6" s="72" t="s">
        <v>141</v>
      </c>
      <c r="D6" s="73" t="s">
        <v>250</v>
      </c>
      <c r="E6" s="74" t="s">
        <v>233</v>
      </c>
      <c r="F6" s="74" t="s">
        <v>144</v>
      </c>
      <c r="G6" s="76" t="s">
        <v>145</v>
      </c>
      <c r="H6" s="77" t="s">
        <v>146</v>
      </c>
      <c r="I6" s="87" t="s">
        <v>147</v>
      </c>
      <c r="J6" s="74" t="s">
        <v>148</v>
      </c>
      <c r="K6" s="79">
        <v>46082</v>
      </c>
      <c r="L6" s="79">
        <v>46387</v>
      </c>
      <c r="M6" s="74" t="s">
        <v>149</v>
      </c>
      <c r="N6" s="88" t="s">
        <v>217</v>
      </c>
      <c r="O6" s="89" t="s">
        <v>150</v>
      </c>
      <c r="P6" s="74" t="s">
        <v>260</v>
      </c>
    </row>
    <row r="7" spans="1:16" s="46" customFormat="1" ht="156" customHeight="1" x14ac:dyDescent="0.35">
      <c r="A7" s="74" t="s">
        <v>203</v>
      </c>
      <c r="B7" s="71" t="s">
        <v>80</v>
      </c>
      <c r="C7" s="72" t="s">
        <v>141</v>
      </c>
      <c r="D7" s="73" t="s">
        <v>218</v>
      </c>
      <c r="E7" s="74" t="s">
        <v>172</v>
      </c>
      <c r="F7" s="74" t="s">
        <v>201</v>
      </c>
      <c r="G7" s="76" t="s">
        <v>145</v>
      </c>
      <c r="H7" s="77" t="s">
        <v>131</v>
      </c>
      <c r="I7" s="87" t="s">
        <v>204</v>
      </c>
      <c r="J7" s="74" t="s">
        <v>219</v>
      </c>
      <c r="K7" s="79" t="s">
        <v>220</v>
      </c>
      <c r="L7" s="79" t="s">
        <v>173</v>
      </c>
      <c r="M7" s="74" t="s">
        <v>174</v>
      </c>
      <c r="N7" s="88" t="s">
        <v>221</v>
      </c>
      <c r="O7" s="89" t="s">
        <v>175</v>
      </c>
      <c r="P7" s="74" t="s">
        <v>176</v>
      </c>
    </row>
    <row r="8" spans="1:16" s="47" customFormat="1" ht="15" hidden="1" customHeight="1" x14ac:dyDescent="0.35">
      <c r="A8" s="90"/>
      <c r="B8" s="90"/>
      <c r="C8" s="90"/>
      <c r="D8" s="90"/>
      <c r="E8" s="90"/>
      <c r="F8" s="90"/>
      <c r="G8" s="90"/>
      <c r="H8" s="90"/>
      <c r="I8" s="90"/>
      <c r="J8" s="90"/>
      <c r="K8" s="90"/>
      <c r="L8" s="90"/>
      <c r="M8" s="90"/>
      <c r="N8" s="90"/>
      <c r="O8" s="90"/>
      <c r="P8" s="90"/>
    </row>
    <row r="9" spans="1:16" s="47" customFormat="1" ht="252.75" customHeight="1" x14ac:dyDescent="0.35">
      <c r="A9" s="90" t="s">
        <v>152</v>
      </c>
      <c r="B9" s="90" t="s">
        <v>140</v>
      </c>
      <c r="C9" s="90" t="s">
        <v>81</v>
      </c>
      <c r="D9" s="90" t="s">
        <v>222</v>
      </c>
      <c r="E9" s="90" t="s">
        <v>223</v>
      </c>
      <c r="F9" s="90" t="s">
        <v>224</v>
      </c>
      <c r="G9" s="90" t="s">
        <v>225</v>
      </c>
      <c r="H9" s="90" t="s">
        <v>131</v>
      </c>
      <c r="I9" s="90" t="s">
        <v>186</v>
      </c>
      <c r="J9" s="90" t="s">
        <v>187</v>
      </c>
      <c r="K9" s="90" t="s">
        <v>205</v>
      </c>
      <c r="L9" s="91">
        <v>46387</v>
      </c>
      <c r="M9" s="90" t="s">
        <v>149</v>
      </c>
      <c r="N9" s="90" t="s">
        <v>188</v>
      </c>
      <c r="O9" s="90" t="s">
        <v>202</v>
      </c>
      <c r="P9" s="90" t="s">
        <v>231</v>
      </c>
    </row>
    <row r="10" spans="1:16" s="47" customFormat="1" ht="118.15" customHeight="1" x14ac:dyDescent="0.35">
      <c r="A10" s="90" t="s">
        <v>154</v>
      </c>
      <c r="B10" s="90" t="s">
        <v>140</v>
      </c>
      <c r="C10" s="90" t="s">
        <v>78</v>
      </c>
      <c r="D10" s="90" t="s">
        <v>153</v>
      </c>
      <c r="E10" s="90" t="s">
        <v>155</v>
      </c>
      <c r="F10" s="90" t="s">
        <v>198</v>
      </c>
      <c r="G10" s="90" t="s">
        <v>206</v>
      </c>
      <c r="H10" s="90" t="s">
        <v>131</v>
      </c>
      <c r="I10" s="90" t="s">
        <v>199</v>
      </c>
      <c r="J10" s="90" t="s">
        <v>190</v>
      </c>
      <c r="K10" s="90" t="s">
        <v>200</v>
      </c>
      <c r="L10" s="90">
        <v>2027</v>
      </c>
      <c r="M10" s="90" t="s">
        <v>149</v>
      </c>
      <c r="N10" s="90" t="s">
        <v>226</v>
      </c>
      <c r="O10" s="90" t="s">
        <v>189</v>
      </c>
      <c r="P10" s="90"/>
    </row>
    <row r="11" spans="1:16" s="47" customFormat="1" ht="189" customHeight="1" x14ac:dyDescent="0.35">
      <c r="A11" s="90" t="s">
        <v>177</v>
      </c>
      <c r="B11" s="90" t="s">
        <v>80</v>
      </c>
      <c r="C11" s="90" t="s">
        <v>141</v>
      </c>
      <c r="D11" s="90" t="s">
        <v>178</v>
      </c>
      <c r="E11" s="90" t="s">
        <v>179</v>
      </c>
      <c r="F11" s="90" t="s">
        <v>180</v>
      </c>
      <c r="G11" s="90" t="s">
        <v>227</v>
      </c>
      <c r="H11" s="90" t="s">
        <v>181</v>
      </c>
      <c r="I11" s="90" t="s">
        <v>182</v>
      </c>
      <c r="J11" s="90" t="s">
        <v>191</v>
      </c>
      <c r="K11" s="90" t="s">
        <v>196</v>
      </c>
      <c r="L11" s="90" t="s">
        <v>197</v>
      </c>
      <c r="M11" s="90" t="s">
        <v>183</v>
      </c>
      <c r="N11" s="90" t="s">
        <v>184</v>
      </c>
      <c r="O11" s="90" t="s">
        <v>185</v>
      </c>
      <c r="P11" s="90" t="s">
        <v>263</v>
      </c>
    </row>
    <row r="12" spans="1:16" s="47" customFormat="1" ht="126.75" customHeight="1" x14ac:dyDescent="0.35">
      <c r="A12" s="90" t="s">
        <v>207</v>
      </c>
      <c r="B12" s="90" t="s">
        <v>140</v>
      </c>
      <c r="C12" s="90" t="s">
        <v>78</v>
      </c>
      <c r="D12" s="90" t="s">
        <v>208</v>
      </c>
      <c r="E12" s="90" t="s">
        <v>209</v>
      </c>
      <c r="F12" s="90" t="s">
        <v>210</v>
      </c>
      <c r="G12" s="90" t="s">
        <v>228</v>
      </c>
      <c r="H12" s="90" t="s">
        <v>131</v>
      </c>
      <c r="I12" s="90" t="s">
        <v>229</v>
      </c>
      <c r="J12" s="90" t="s">
        <v>211</v>
      </c>
      <c r="K12" s="90" t="s">
        <v>215</v>
      </c>
      <c r="L12" s="90" t="s">
        <v>212</v>
      </c>
      <c r="M12" s="90" t="s">
        <v>213</v>
      </c>
      <c r="N12" s="90" t="s">
        <v>261</v>
      </c>
      <c r="O12" s="90" t="s">
        <v>214</v>
      </c>
      <c r="P12" s="90" t="s">
        <v>230</v>
      </c>
    </row>
    <row r="13" spans="1:16" s="47" customFormat="1" ht="144.75" customHeight="1" x14ac:dyDescent="0.35">
      <c r="A13" s="90" t="s">
        <v>234</v>
      </c>
      <c r="B13" s="90" t="s">
        <v>140</v>
      </c>
      <c r="C13" s="90" t="s">
        <v>146</v>
      </c>
      <c r="D13" s="90" t="s">
        <v>251</v>
      </c>
      <c r="E13" s="90" t="s">
        <v>247</v>
      </c>
      <c r="F13" s="90" t="s">
        <v>248</v>
      </c>
      <c r="G13" s="90" t="s">
        <v>145</v>
      </c>
      <c r="H13" s="90"/>
      <c r="I13" s="90" t="s">
        <v>252</v>
      </c>
      <c r="J13" s="90" t="s">
        <v>253</v>
      </c>
      <c r="K13" s="90" t="s">
        <v>254</v>
      </c>
      <c r="L13" s="90">
        <v>2027</v>
      </c>
      <c r="M13" s="90" t="s">
        <v>159</v>
      </c>
      <c r="N13" s="90" t="s">
        <v>255</v>
      </c>
      <c r="O13" s="90" t="s">
        <v>256</v>
      </c>
      <c r="P13" s="90"/>
    </row>
    <row r="14" spans="1:16" s="47" customFormat="1" ht="59.25" customHeight="1" x14ac:dyDescent="0.35">
      <c r="A14" s="90" t="s">
        <v>235</v>
      </c>
      <c r="B14" s="90" t="s">
        <v>80</v>
      </c>
      <c r="C14" s="90" t="s">
        <v>78</v>
      </c>
      <c r="D14" s="90" t="s">
        <v>236</v>
      </c>
      <c r="E14" s="90" t="s">
        <v>237</v>
      </c>
      <c r="F14" s="90" t="s">
        <v>238</v>
      </c>
      <c r="G14" s="90" t="s">
        <v>239</v>
      </c>
      <c r="H14" s="90" t="s">
        <v>131</v>
      </c>
      <c r="I14" s="90" t="s">
        <v>240</v>
      </c>
      <c r="J14" s="90" t="s">
        <v>241</v>
      </c>
      <c r="K14" s="90" t="s">
        <v>242</v>
      </c>
      <c r="L14" s="93">
        <v>46023</v>
      </c>
      <c r="M14" s="90" t="s">
        <v>243</v>
      </c>
      <c r="N14" s="90" t="s">
        <v>244</v>
      </c>
      <c r="O14" s="90" t="s">
        <v>245</v>
      </c>
      <c r="P14" s="90" t="s">
        <v>246</v>
      </c>
    </row>
    <row r="15" spans="1:16" s="47" customFormat="1" ht="15" customHeight="1" x14ac:dyDescent="0.35">
      <c r="A15" s="90"/>
      <c r="B15" s="90"/>
      <c r="C15" s="90"/>
      <c r="D15" s="90"/>
      <c r="E15" s="90"/>
      <c r="F15" s="90"/>
      <c r="G15" s="90"/>
      <c r="H15" s="90"/>
      <c r="I15" s="90"/>
      <c r="J15" s="90"/>
      <c r="K15" s="90"/>
      <c r="L15" s="90"/>
      <c r="M15" s="90"/>
      <c r="N15" s="90"/>
      <c r="O15" s="90"/>
      <c r="P15" s="90"/>
    </row>
    <row r="16" spans="1:16" ht="15" customHeight="1" x14ac:dyDescent="0.45">
      <c r="A16" s="92"/>
      <c r="B16" s="92"/>
      <c r="C16" s="92"/>
      <c r="D16" s="92"/>
      <c r="E16" s="92"/>
      <c r="F16" s="92"/>
      <c r="G16" s="92"/>
      <c r="H16" s="92"/>
      <c r="I16" s="92"/>
      <c r="J16" s="92"/>
      <c r="K16" s="92"/>
      <c r="L16" s="92"/>
      <c r="M16" s="92"/>
      <c r="N16" s="92"/>
      <c r="O16" s="92"/>
      <c r="P16" s="92"/>
    </row>
    <row r="17" spans="1:16" ht="15" customHeight="1" x14ac:dyDescent="0.45">
      <c r="A17" s="92"/>
      <c r="B17" s="92"/>
      <c r="C17" s="92"/>
      <c r="D17" s="92"/>
      <c r="E17" s="92"/>
      <c r="F17" s="92"/>
      <c r="G17" s="92"/>
      <c r="H17" s="92"/>
      <c r="I17" s="92"/>
      <c r="J17" s="92"/>
      <c r="K17" s="92"/>
      <c r="L17" s="92"/>
      <c r="M17" s="92"/>
      <c r="N17" s="92"/>
      <c r="O17" s="92"/>
      <c r="P17" s="92"/>
    </row>
    <row r="18" spans="1:16" ht="15" customHeight="1" x14ac:dyDescent="0.45">
      <c r="A18" s="92"/>
      <c r="B18" s="92"/>
      <c r="C18" s="92"/>
      <c r="D18" s="92"/>
      <c r="E18" s="92"/>
      <c r="F18" s="92"/>
      <c r="G18" s="92"/>
      <c r="H18" s="92"/>
      <c r="I18" s="92"/>
      <c r="J18" s="92"/>
      <c r="K18" s="92"/>
      <c r="L18" s="92"/>
      <c r="M18" s="92"/>
      <c r="N18" s="92"/>
      <c r="O18" s="92"/>
      <c r="P18" s="92"/>
    </row>
    <row r="19" spans="1:16" ht="15" customHeight="1" x14ac:dyDescent="0.45">
      <c r="A19" s="92"/>
      <c r="B19" s="92"/>
      <c r="C19" s="92"/>
      <c r="D19" s="92"/>
      <c r="E19" s="92"/>
      <c r="F19" s="92"/>
      <c r="G19" s="92"/>
      <c r="H19" s="92"/>
      <c r="I19" s="92"/>
      <c r="J19" s="92"/>
      <c r="K19" s="92"/>
      <c r="L19" s="92"/>
      <c r="M19" s="92"/>
      <c r="N19" s="92"/>
      <c r="O19" s="92"/>
      <c r="P19" s="92"/>
    </row>
    <row r="20" spans="1:16" ht="15" customHeight="1" x14ac:dyDescent="0.45">
      <c r="A20" s="92"/>
      <c r="B20" s="92"/>
      <c r="C20" s="92"/>
      <c r="D20" s="92"/>
      <c r="E20" s="92"/>
      <c r="F20" s="92"/>
      <c r="G20" s="92"/>
      <c r="H20" s="92"/>
      <c r="I20" s="92"/>
      <c r="J20" s="92"/>
      <c r="K20" s="92"/>
      <c r="L20" s="92"/>
      <c r="M20" s="92"/>
      <c r="N20" s="92"/>
      <c r="O20" s="92"/>
      <c r="P20" s="92"/>
    </row>
    <row r="21" spans="1:16" ht="15" customHeight="1" x14ac:dyDescent="0.45">
      <c r="A21" s="92"/>
      <c r="B21" s="92"/>
      <c r="C21" s="92"/>
      <c r="D21" s="92"/>
      <c r="E21" s="92"/>
      <c r="F21" s="92"/>
      <c r="G21" s="92"/>
      <c r="H21" s="92"/>
      <c r="I21" s="92"/>
      <c r="J21" s="92"/>
      <c r="K21" s="92"/>
      <c r="L21" s="92"/>
      <c r="M21" s="92"/>
      <c r="N21" s="92"/>
      <c r="O21" s="92"/>
      <c r="P21" s="92"/>
    </row>
    <row r="22" spans="1:16" ht="15" customHeight="1" x14ac:dyDescent="0.45">
      <c r="A22" s="92"/>
      <c r="B22" s="92"/>
      <c r="C22" s="92"/>
      <c r="D22" s="92"/>
      <c r="E22" s="92"/>
      <c r="F22" s="92"/>
      <c r="G22" s="92"/>
      <c r="H22" s="92"/>
      <c r="I22" s="92"/>
      <c r="J22" s="92"/>
      <c r="K22" s="92"/>
      <c r="L22" s="92"/>
      <c r="M22" s="92"/>
      <c r="N22" s="92"/>
      <c r="O22" s="92"/>
      <c r="P22" s="92"/>
    </row>
    <row r="23" spans="1:16" ht="15" customHeight="1" x14ac:dyDescent="0.45">
      <c r="A23" s="92"/>
      <c r="B23" s="92"/>
      <c r="C23" s="92"/>
      <c r="D23" s="92"/>
      <c r="E23" s="92"/>
      <c r="F23" s="92"/>
      <c r="G23" s="92"/>
      <c r="H23" s="92"/>
      <c r="I23" s="92"/>
      <c r="J23" s="92"/>
      <c r="K23" s="92"/>
      <c r="L23" s="92"/>
      <c r="M23" s="92"/>
      <c r="N23" s="92"/>
      <c r="O23" s="92"/>
      <c r="P23" s="92"/>
    </row>
    <row r="24" spans="1:16" ht="15" customHeight="1" x14ac:dyDescent="0.45">
      <c r="A24" s="92"/>
      <c r="B24" s="92"/>
      <c r="C24" s="92"/>
      <c r="D24" s="92"/>
      <c r="E24" s="92"/>
      <c r="F24" s="92"/>
      <c r="G24" s="92"/>
      <c r="H24" s="92"/>
      <c r="I24" s="92"/>
      <c r="J24" s="92"/>
      <c r="K24" s="92"/>
      <c r="L24" s="92"/>
      <c r="M24" s="92"/>
      <c r="N24" s="92"/>
      <c r="O24" s="92"/>
      <c r="P24" s="92"/>
    </row>
    <row r="25" spans="1:16" ht="15" customHeight="1" x14ac:dyDescent="0.45">
      <c r="A25" s="92"/>
      <c r="B25" s="92"/>
      <c r="C25" s="92"/>
      <c r="D25" s="92"/>
      <c r="E25" s="92"/>
      <c r="F25" s="92"/>
      <c r="G25" s="92"/>
      <c r="H25" s="92"/>
      <c r="I25" s="92"/>
      <c r="J25" s="92"/>
      <c r="K25" s="92"/>
      <c r="L25" s="92"/>
      <c r="M25" s="92"/>
      <c r="N25" s="92"/>
      <c r="O25" s="92"/>
      <c r="P25" s="92"/>
    </row>
    <row r="26" spans="1:16" ht="15" customHeight="1" x14ac:dyDescent="0.45">
      <c r="A26" s="92"/>
      <c r="B26" s="92"/>
      <c r="C26" s="92"/>
      <c r="D26" s="92"/>
      <c r="E26" s="92"/>
      <c r="F26" s="92"/>
      <c r="G26" s="92"/>
      <c r="H26" s="92"/>
      <c r="I26" s="92"/>
      <c r="J26" s="92"/>
      <c r="K26" s="92"/>
      <c r="L26" s="92"/>
      <c r="M26" s="92"/>
      <c r="N26" s="92"/>
      <c r="O26" s="92"/>
      <c r="P26" s="92"/>
    </row>
  </sheetData>
  <dataValidations count="4">
    <dataValidation type="list" allowBlank="1" showInputMessage="1" showErrorMessage="1" sqref="B3:B7" xr:uid="{5DAB7581-BECC-4AAE-B4EB-0F0CE0624B9D}">
      <formula1>"Statewide,Hospital,Regional"</formula1>
    </dataValidation>
    <dataValidation allowBlank="1" showInputMessage="1" showErrorMessage="1" sqref="A1:C1 A2:B2 A6:A7 E1:P2 A3 D1:D7 N3:O7" xr:uid="{6FF9FDFE-57E4-4B40-95BF-0313A0EA7D2C}"/>
    <dataValidation type="list" allowBlank="1" showInputMessage="1" showErrorMessage="1" sqref="C3:C7" xr:uid="{BE7F5688-39D1-44B4-BDC7-642A24E40DC7}">
      <formula1>"Clinical Service Redesign,Transfers and Transport,Shared Purchasing,Information Technology,Workforce,Other"</formula1>
    </dataValidation>
    <dataValidation type="list" allowBlank="1" showInputMessage="1" showErrorMessage="1" sqref="H3:H7" xr:uid="{FCCD4BAD-48FB-4417-AFFB-DE15D84CD807}">
      <formula1>"Business Case,Invoice costs,Staff costs,Vendor quote,Other"</formula1>
    </dataValidation>
  </dataValidations>
  <pageMargins left="0.7" right="0.7" top="0.75" bottom="0.75" header="0.3" footer="0.3"/>
  <pageSetup orientation="portrait" r:id="rId1"/>
  <headerFooter>
    <oddHeader>&amp;C&amp;G</oddHead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4A788-E180-4A5D-AE50-48DD6F0620E2}">
  <dimension ref="A1:Q9"/>
  <sheetViews>
    <sheetView zoomScaleNormal="100" workbookViewId="0">
      <selection activeCell="A4" sqref="A4"/>
    </sheetView>
  </sheetViews>
  <sheetFormatPr defaultColWidth="8.90625" defaultRowHeight="18.75" customHeight="1" x14ac:dyDescent="0.35"/>
  <cols>
    <col min="1" max="1" width="11.36328125" style="3" customWidth="1"/>
    <col min="2" max="2" width="19.90625" style="3" customWidth="1"/>
    <col min="3" max="3" width="19" style="3" customWidth="1"/>
    <col min="4" max="4" width="55.36328125" style="3" customWidth="1"/>
    <col min="5" max="5" width="39.90625" style="3" customWidth="1"/>
    <col min="6" max="6" width="40.36328125" style="3" customWidth="1"/>
    <col min="7" max="7" width="25.90625" style="3" customWidth="1"/>
    <col min="8" max="8" width="20.90625" style="3" customWidth="1"/>
    <col min="9" max="9" width="42.90625" style="3" customWidth="1"/>
    <col min="10" max="10" width="8.6328125" style="3" customWidth="1"/>
    <col min="11" max="16384" width="8.90625" style="3"/>
  </cols>
  <sheetData>
    <row r="1" spans="1:17" s="2" customFormat="1" ht="55.4" customHeight="1" x14ac:dyDescent="0.35">
      <c r="A1" s="4" t="s">
        <v>88</v>
      </c>
      <c r="B1" s="1" t="s">
        <v>89</v>
      </c>
      <c r="C1" s="1" t="s">
        <v>90</v>
      </c>
      <c r="D1" s="1" t="s">
        <v>91</v>
      </c>
      <c r="E1" s="1" t="s">
        <v>92</v>
      </c>
      <c r="F1" s="5" t="s">
        <v>93</v>
      </c>
      <c r="G1" s="1" t="s">
        <v>94</v>
      </c>
      <c r="H1" s="1" t="s">
        <v>95</v>
      </c>
      <c r="I1" s="6" t="s">
        <v>96</v>
      </c>
    </row>
    <row r="2" spans="1:17" s="8" customFormat="1" ht="114" customHeight="1" x14ac:dyDescent="0.35">
      <c r="A2" s="33" t="s">
        <v>97</v>
      </c>
      <c r="B2" s="15" t="s">
        <v>98</v>
      </c>
      <c r="C2" s="25" t="s">
        <v>99</v>
      </c>
      <c r="D2" s="16" t="s">
        <v>100</v>
      </c>
      <c r="E2" s="14" t="s">
        <v>101</v>
      </c>
      <c r="F2" s="14" t="s">
        <v>102</v>
      </c>
      <c r="G2" s="17" t="s">
        <v>103</v>
      </c>
      <c r="H2" s="19" t="s">
        <v>104</v>
      </c>
      <c r="I2" s="18" t="s">
        <v>105</v>
      </c>
      <c r="J2" s="2"/>
      <c r="K2" s="2"/>
      <c r="L2" s="2"/>
      <c r="M2" s="2"/>
      <c r="N2" s="2"/>
      <c r="O2" s="2"/>
      <c r="P2" s="2"/>
      <c r="Q2" s="2"/>
    </row>
    <row r="3" spans="1:17" s="8" customFormat="1" ht="119.25" customHeight="1" x14ac:dyDescent="0.35">
      <c r="A3" s="22" t="s">
        <v>106</v>
      </c>
      <c r="B3" s="22" t="s">
        <v>135</v>
      </c>
      <c r="C3" s="22" t="s">
        <v>136</v>
      </c>
      <c r="D3" s="35" t="s">
        <v>137</v>
      </c>
      <c r="E3" s="36" t="s">
        <v>139</v>
      </c>
      <c r="F3" s="23"/>
      <c r="G3" s="22" t="s">
        <v>103</v>
      </c>
      <c r="H3" s="22" t="s">
        <v>138</v>
      </c>
      <c r="I3" s="20" t="s">
        <v>105</v>
      </c>
      <c r="J3" s="2"/>
      <c r="K3" s="2"/>
      <c r="L3" s="2"/>
      <c r="M3" s="2"/>
      <c r="N3" s="2"/>
      <c r="O3" s="2"/>
      <c r="P3" s="2"/>
      <c r="Q3" s="2"/>
    </row>
    <row r="4" spans="1:17" s="44" customFormat="1" ht="47.5" customHeight="1" x14ac:dyDescent="0.35">
      <c r="A4" s="40" t="s">
        <v>107</v>
      </c>
      <c r="B4" s="40" t="s">
        <v>192</v>
      </c>
      <c r="C4" s="40" t="s">
        <v>99</v>
      </c>
      <c r="D4" s="40" t="s">
        <v>193</v>
      </c>
      <c r="E4" s="41" t="s">
        <v>194</v>
      </c>
      <c r="F4" s="42"/>
      <c r="G4" s="40" t="s">
        <v>103</v>
      </c>
      <c r="H4" s="40" t="s">
        <v>195</v>
      </c>
      <c r="I4" s="43" t="s">
        <v>105</v>
      </c>
    </row>
    <row r="5" spans="1:17" s="38" customFormat="1" ht="18.75" customHeight="1" x14ac:dyDescent="0.35">
      <c r="A5" s="38" t="s">
        <v>160</v>
      </c>
    </row>
    <row r="6" spans="1:17" s="38" customFormat="1" ht="18.75" customHeight="1" x14ac:dyDescent="0.35">
      <c r="A6" s="38" t="s">
        <v>161</v>
      </c>
    </row>
    <row r="7" spans="1:17" s="38" customFormat="1" ht="18.75" customHeight="1" x14ac:dyDescent="0.35">
      <c r="A7" s="38" t="s">
        <v>162</v>
      </c>
    </row>
    <row r="8" spans="1:17" s="38" customFormat="1" ht="18.75" customHeight="1" x14ac:dyDescent="0.35">
      <c r="A8" s="38" t="s">
        <v>163</v>
      </c>
    </row>
    <row r="9" spans="1:17" s="38" customFormat="1" ht="18.75" customHeight="1" x14ac:dyDescent="0.35">
      <c r="A9" s="38" t="s">
        <v>164</v>
      </c>
    </row>
  </sheetData>
  <dataValidations count="4">
    <dataValidation type="list" allowBlank="1" showInputMessage="1" showErrorMessage="1" sqref="G2:G4" xr:uid="{A0615E9F-3DCD-4FAA-9DAE-D98946827056}">
      <formula1>"Low,Medium,High"</formula1>
    </dataValidation>
    <dataValidation type="list" allowBlank="1" showInputMessage="1" showErrorMessage="1" sqref="I2:I4" xr:uid="{FC6CB2DC-4B6E-46D2-97BA-D76BBF2B9896}">
      <formula1>"Open,Monitoring,Mitigated,Closed"</formula1>
    </dataValidation>
    <dataValidation type="list" allowBlank="1" showInputMessage="1" showErrorMessage="1" sqref="B2:C4" xr:uid="{E455AD5F-B350-44C8-8941-C213287E425D}">
      <formula1>"Work Force, Acess to Care, Quality of Care, Financial Stability, Risk to area residents,Legal,Regulatory,Other"</formula1>
    </dataValidation>
    <dataValidation type="list" allowBlank="1" showInputMessage="1" showErrorMessage="1" sqref="H2:H4" xr:uid="{4C55E350-D739-41DB-B816-5FC5FA7244E6}">
      <formula1>"Moderate,Significant,Critical"</formula1>
    </dataValidation>
  </dataValidations>
  <pageMargins left="0.7" right="0.7" top="0.75" bottom="0.75" header="0.3" footer="0.3"/>
  <pageSetup orientation="landscape" r:id="rId1"/>
  <headerFooter>
    <oddHeader>&amp;C&amp;G</oddHead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3126B-F146-4D4D-8A4F-C47740B41252}">
  <dimension ref="A1:J24"/>
  <sheetViews>
    <sheetView workbookViewId="0">
      <selection activeCell="A9" sqref="A9:XFD9"/>
    </sheetView>
  </sheetViews>
  <sheetFormatPr defaultColWidth="8.90625" defaultRowHeight="29.25" customHeight="1" x14ac:dyDescent="0.35"/>
  <cols>
    <col min="1" max="1" width="15.36328125" style="21" customWidth="1"/>
    <col min="2" max="2" width="31.6328125" style="21" customWidth="1"/>
    <col min="3" max="3" width="29.90625" style="21" customWidth="1"/>
    <col min="4" max="5" width="36.6328125" style="21" customWidth="1"/>
    <col min="6" max="6" width="34.36328125" style="21" customWidth="1"/>
    <col min="7" max="7" width="27.6328125" style="21" customWidth="1"/>
    <col min="8" max="8" width="32.36328125" style="21" customWidth="1"/>
    <col min="9" max="16384" width="8.90625" style="21"/>
  </cols>
  <sheetData>
    <row r="1" spans="1:10" s="8" customFormat="1" ht="34.5" customHeight="1" x14ac:dyDescent="0.35">
      <c r="A1" s="7" t="s">
        <v>108</v>
      </c>
      <c r="B1" s="6" t="s">
        <v>109</v>
      </c>
      <c r="C1" s="7" t="s">
        <v>110</v>
      </c>
      <c r="D1" s="7" t="s">
        <v>111</v>
      </c>
      <c r="E1" s="6" t="s">
        <v>112</v>
      </c>
      <c r="F1" s="6" t="s">
        <v>113</v>
      </c>
      <c r="G1" s="6" t="s">
        <v>114</v>
      </c>
      <c r="H1" s="7" t="s">
        <v>115</v>
      </c>
    </row>
    <row r="2" spans="1:10" s="8" customFormat="1" ht="29.25" customHeight="1" x14ac:dyDescent="0.35">
      <c r="A2" s="20" t="s">
        <v>116</v>
      </c>
      <c r="B2" s="20"/>
      <c r="C2" s="20"/>
      <c r="D2" s="20"/>
      <c r="E2" s="20"/>
      <c r="F2" s="20"/>
      <c r="G2" s="20"/>
      <c r="H2" s="20"/>
    </row>
    <row r="3" spans="1:10" s="8" customFormat="1" ht="29.25" customHeight="1" x14ac:dyDescent="0.35">
      <c r="A3" s="20" t="s">
        <v>165</v>
      </c>
      <c r="B3" s="20"/>
      <c r="C3" s="20"/>
      <c r="D3" s="20"/>
      <c r="E3" s="20"/>
      <c r="F3" s="20"/>
      <c r="G3" s="20"/>
      <c r="H3" s="20"/>
    </row>
    <row r="4" spans="1:10" s="8" customFormat="1" ht="29.25" customHeight="1" x14ac:dyDescent="0.35">
      <c r="A4" s="20" t="s">
        <v>166</v>
      </c>
      <c r="B4" s="20"/>
      <c r="C4" s="20"/>
      <c r="D4" s="20"/>
      <c r="E4" s="20"/>
      <c r="F4" s="20"/>
      <c r="G4" s="20"/>
      <c r="H4" s="20"/>
    </row>
    <row r="5" spans="1:10" s="8" customFormat="1" ht="29.25" customHeight="1" x14ac:dyDescent="0.35">
      <c r="A5" s="20" t="s">
        <v>167</v>
      </c>
      <c r="B5" s="20"/>
      <c r="C5" s="20"/>
      <c r="D5" s="20"/>
      <c r="E5" s="20"/>
      <c r="F5" s="20"/>
      <c r="G5" s="20"/>
      <c r="H5" s="20"/>
    </row>
    <row r="6" spans="1:10" s="8" customFormat="1" ht="29.25" customHeight="1" x14ac:dyDescent="0.35">
      <c r="A6" s="20" t="s">
        <v>168</v>
      </c>
      <c r="B6" s="20"/>
      <c r="C6" s="20"/>
      <c r="D6" s="20"/>
      <c r="E6" s="20"/>
      <c r="F6" s="20"/>
      <c r="G6" s="20"/>
      <c r="H6" s="20"/>
    </row>
    <row r="7" spans="1:10" s="8" customFormat="1" ht="29.25" customHeight="1" x14ac:dyDescent="0.35">
      <c r="A7" s="20" t="s">
        <v>169</v>
      </c>
      <c r="B7" s="20"/>
      <c r="C7" s="20"/>
      <c r="D7" s="20"/>
      <c r="E7" s="20"/>
      <c r="F7" s="20"/>
      <c r="G7" s="20"/>
      <c r="H7" s="20"/>
    </row>
    <row r="8" spans="1:10" s="8" customFormat="1" ht="29.25" customHeight="1" x14ac:dyDescent="0.35">
      <c r="A8" s="37" t="s">
        <v>170</v>
      </c>
      <c r="B8" s="37"/>
      <c r="C8" s="37"/>
      <c r="D8" s="37"/>
      <c r="E8" s="37"/>
      <c r="F8" s="37"/>
      <c r="G8" s="37"/>
      <c r="H8" s="37"/>
    </row>
    <row r="9" spans="1:10" s="39" customFormat="1" ht="29.25" customHeight="1" x14ac:dyDescent="0.35">
      <c r="A9" s="39" t="s">
        <v>171</v>
      </c>
    </row>
    <row r="13" spans="1:10" ht="29.25" customHeight="1" x14ac:dyDescent="0.35">
      <c r="A13" s="98" t="s">
        <v>117</v>
      </c>
      <c r="B13" s="98"/>
      <c r="C13" s="98"/>
      <c r="D13" s="98"/>
      <c r="E13" s="98"/>
      <c r="F13" s="98"/>
      <c r="G13" s="98"/>
      <c r="H13" s="98"/>
      <c r="I13" s="98"/>
      <c r="J13" s="98"/>
    </row>
    <row r="24" spans="1:2" ht="29.25" customHeight="1" x14ac:dyDescent="0.35">
      <c r="A24" s="3"/>
      <c r="B24" s="3"/>
    </row>
  </sheetData>
  <mergeCells count="2">
    <mergeCell ref="A13:E13"/>
    <mergeCell ref="F13:J13"/>
  </mergeCells>
  <dataValidations count="3">
    <dataValidation type="list" allowBlank="1" showInputMessage="1" showErrorMessage="1" sqref="E2" xr:uid="{EC3D0B25-FAA9-4C4D-AFD5-A1BC2B2441A6}">
      <formula1>"Email,Meeting,Webinar,Workshop,Other"</formula1>
    </dataValidation>
    <dataValidation type="list" allowBlank="1" showInputMessage="1" showErrorMessage="1" sqref="F2" xr:uid="{69C4DFE4-08BC-4851-9AEC-C09F2E7BC81D}">
      <formula1>"Daily,Weekly,Bi-Weekly,Monthly,Quarterly,As Needed"</formula1>
    </dataValidation>
    <dataValidation type="list" allowBlank="1" showInputMessage="1" showErrorMessage="1" sqref="G2" xr:uid="{260C485D-587F-43DE-B063-7182AC178DBD}">
      <formula1>"Complete,Awaiting Response,Planned,Other"</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e753d32-3d0e-4b0c-ba17-17810b6b2dee">
      <Terms xmlns="http://schemas.microsoft.com/office/infopath/2007/PartnerControls"/>
    </lcf76f155ced4ddcb4097134ff3c332f>
    <TaxCatchAll xmlns="c89e416c-4c29-47f7-9a79-f2bb4fe9a69b" xsi:nil="true"/>
    <_dlc_DocId xmlns="c89e416c-4c29-47f7-9a79-f2bb4fe9a69b">73WRFNMZF6N2-353167544-4751</_dlc_DocId>
    <_dlc_DocIdUrl xmlns="c89e416c-4c29-47f7-9a79-f2bb4fe9a69b">
      <Url>https://vermontgov.sharepoint.com/teams/AHS-COHealthCareReformTeam/_layouts/15/DocIdRedir.aspx?ID=73WRFNMZF6N2-353167544-4751</Url>
      <Description>73WRFNMZF6N2-353167544-4751</Description>
    </_dlc_DocIdUrl>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A099E7FDF9CF140AD60E153A6C4B42B" ma:contentTypeVersion="13" ma:contentTypeDescription="Create a new document." ma:contentTypeScope="" ma:versionID="ec5d422e3ec4d7ff1299284bbc48ae85">
  <xsd:schema xmlns:xsd="http://www.w3.org/2001/XMLSchema" xmlns:xs="http://www.w3.org/2001/XMLSchema" xmlns:p="http://schemas.microsoft.com/office/2006/metadata/properties" xmlns:ns2="c89e416c-4c29-47f7-9a79-f2bb4fe9a69b" xmlns:ns3="9e753d32-3d0e-4b0c-ba17-17810b6b2dee" targetNamespace="http://schemas.microsoft.com/office/2006/metadata/properties" ma:root="true" ma:fieldsID="4f12c25262964174e22d8543b5737c91" ns2:_="" ns3:_="">
    <xsd:import namespace="c89e416c-4c29-47f7-9a79-f2bb4fe9a69b"/>
    <xsd:import namespace="9e753d32-3d0e-4b0c-ba17-17810b6b2dee"/>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DateTaken" minOccurs="0"/>
                <xsd:element ref="ns3:MediaLengthInSeconds" minOccurs="0"/>
                <xsd:element ref="ns3:MediaServiceSearchProperties" minOccurs="0"/>
                <xsd:element ref="ns3:MediaServiceObjectDetectorVersions" minOccurs="0"/>
                <xsd:element ref="ns3:MediaServiceGenerationTime" minOccurs="0"/>
                <xsd:element ref="ns3:MediaServiceEventHashCode" minOccurs="0"/>
                <xsd:element ref="ns3:lcf76f155ced4ddcb4097134ff3c332f" minOccurs="0"/>
                <xsd:element ref="ns2:TaxCatchAll"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89e416c-4c29-47f7-9a79-f2bb4fe9a69b"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21" nillable="true" ma:displayName="Taxonomy Catch All Column" ma:hidden="true" ma:list="{e894a1d2-6f5b-41bc-b314-476ab9b1f8d6}" ma:internalName="TaxCatchAll" ma:showField="CatchAllData" ma:web="c89e416c-4c29-47f7-9a79-f2bb4fe9a69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9e753d32-3d0e-4b0c-ba17-17810b6b2dee"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0b405ef0-1b2e-414d-886f-c62305e76806"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CE64B08-F34E-458C-A905-F0FA03EEB7A5}">
  <ds:schemaRefs>
    <ds:schemaRef ds:uri="http://schemas.microsoft.com/office/2006/metadata/properties"/>
    <ds:schemaRef ds:uri="http://schemas.microsoft.com/office/infopath/2007/PartnerControls"/>
    <ds:schemaRef ds:uri="9e753d32-3d0e-4b0c-ba17-17810b6b2dee"/>
    <ds:schemaRef ds:uri="c89e416c-4c29-47f7-9a79-f2bb4fe9a69b"/>
  </ds:schemaRefs>
</ds:datastoreItem>
</file>

<file path=customXml/itemProps2.xml><?xml version="1.0" encoding="utf-8"?>
<ds:datastoreItem xmlns:ds="http://schemas.openxmlformats.org/officeDocument/2006/customXml" ds:itemID="{85B78F1A-45FB-4680-A04D-317658ABF910}"/>
</file>

<file path=customXml/itemProps3.xml><?xml version="1.0" encoding="utf-8"?>
<ds:datastoreItem xmlns:ds="http://schemas.openxmlformats.org/officeDocument/2006/customXml" ds:itemID="{B7348224-27EA-49DF-A83C-8E5968D7A878}">
  <ds:schemaRefs>
    <ds:schemaRef ds:uri="http://schemas.microsoft.com/sharepoint/events"/>
  </ds:schemaRefs>
</ds:datastoreItem>
</file>

<file path=customXml/itemProps4.xml><?xml version="1.0" encoding="utf-8"?>
<ds:datastoreItem xmlns:ds="http://schemas.openxmlformats.org/officeDocument/2006/customXml" ds:itemID="{60CE1BC1-639F-4D06-885D-1C2B20D17F7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Instructions</vt:lpstr>
      <vt:lpstr>1.Hospital Information</vt:lpstr>
      <vt:lpstr>2.Planned Transformation</vt:lpstr>
      <vt:lpstr>3.Risk Mitigation</vt:lpstr>
      <vt:lpstr>4. Communication Strategy</vt:lpstr>
      <vt:lpstr>'1.Hospital Information'!Print_Area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Stecko, Alice</dc:creator>
  <cp:keywords/>
  <dc:description/>
  <cp:lastModifiedBy>Carrell, Katelyn</cp:lastModifiedBy>
  <cp:revision/>
  <dcterms:created xsi:type="dcterms:W3CDTF">2025-10-30T14:43:30Z</dcterms:created>
  <dcterms:modified xsi:type="dcterms:W3CDTF">2026-02-06T21:20:20Z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0x0101009A099E7FDF9CF140AD60E153A6C4B42B</vt:lpwstr>
  </property>
  <property fmtid="{D5CDD505-2E9C-101B-9397-08002B2CF9AE}" pid="3" name="_dlc_DocIdItemGuid">
    <vt:lpwstr>33ae2a48-a8b0-4bcc-850c-a3a2cc33c4f8</vt:lpwstr>
  </property>
  <property fmtid="{D5CDD505-2E9C-101B-9397-08002B2CF9AE}" pid="4" name="MediaServiceImageTags">
    <vt:lpwstr/>
  </property>
</Properties>
</file>