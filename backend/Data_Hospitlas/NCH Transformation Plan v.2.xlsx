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vermontgov.sharepoint.com/teams/AHS-COHealthCareReformTeam/Shared Documents/Care Transformation/Hospital Transformation Plans/NCH/"/>
    </mc:Choice>
  </mc:AlternateContent>
  <xr:revisionPtr revIDLastSave="1" documentId="8_{1FCB92C7-F36A-4EE0-851B-CD43C3D025DA}" xr6:coauthVersionLast="47" xr6:coauthVersionMax="47" xr10:uidLastSave="{81D4518D-10E7-4733-9646-5A3C8A04A8E5}"/>
  <bookViews>
    <workbookView minimized="1" xWindow="0" yWindow="0" windowWidth="19360" windowHeight="10960" firstSheet="2" activeTab="2" xr2:uid="{0C217AEB-ACF8-412A-87B5-FA3F27C51D23}"/>
  </bookViews>
  <sheets>
    <sheet name="Instructions" sheetId="5" r:id="rId1"/>
    <sheet name="1.Hospital Information" sheetId="2" r:id="rId2"/>
    <sheet name="2.Planned Transformation" sheetId="1" r:id="rId3"/>
    <sheet name="3.Risk Mitigation" sheetId="3" r:id="rId4"/>
    <sheet name="4. Communication Strategy" sheetId="4" r:id="rId5"/>
  </sheets>
  <definedNames>
    <definedName name="_xlnm.Print_Area" localSheetId="1">'1.Hospital Information'!$A$1:$D$16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1" l="1"/>
</calcChain>
</file>

<file path=xl/sharedStrings.xml><?xml version="1.0" encoding="utf-8"?>
<sst xmlns="http://schemas.openxmlformats.org/spreadsheetml/2006/main" count="316" uniqueCount="254">
  <si>
    <t>Purpose:</t>
  </si>
  <si>
    <t xml:space="preserve">The purpose of this Transformation Plan is to provide detailed information that enables AHS to review, assess and offer guidance on proposed hospital transformation initiatives. </t>
  </si>
  <si>
    <t>AHS will use analytic and decision-support tools to evaluate the potential impact of each proposal.</t>
  </si>
  <si>
    <t>Instructions:</t>
  </si>
  <si>
    <t>Please complete all tabs in this workbook as fully as possible.</t>
  </si>
  <si>
    <t>As noted in the cover letter, please reach out to Katie Carrell if you have additonal questions.  AHS is available to assist throughout the completion process.</t>
  </si>
  <si>
    <t>Within the Planned Transformation tab, you will be asked to provide the Objective and Theme for each goal. This is to ensure that the hospital goals also align with AHS and Act 68 of 2025 priorities, as detailed below.</t>
  </si>
  <si>
    <r>
      <t>Hospital Transformation and Regionalization Priorities</t>
    </r>
    <r>
      <rPr>
        <sz val="11"/>
        <rFont val="Aptos"/>
        <family val="2"/>
      </rPr>
      <t> </t>
    </r>
  </si>
  <si>
    <t>1 </t>
  </si>
  <si>
    <t>Transforming the health system to ensure cost sustainability, workforce retention and growth, improved patient access, and better care outcomes.   </t>
  </si>
  <si>
    <t>2 </t>
  </si>
  <si>
    <t>Designing strategic regionalization of services to align with population needs, establishing regional care delivery systems, and fostering partnerships between organizations.   </t>
  </si>
  <si>
    <t>3 </t>
  </si>
  <si>
    <t>Maintaining access to essential local services.   </t>
  </si>
  <si>
    <r>
      <t>Act 68 of 2025 Purpose and Goals</t>
    </r>
    <r>
      <rPr>
        <sz val="11"/>
        <rFont val="Aptos"/>
        <family val="2"/>
      </rPr>
      <t> </t>
    </r>
  </si>
  <si>
    <t>improvements in health outcomes, population health, quality of care, regional access to services, and reducing disparities in access resulting from demographic factors or health status;  </t>
  </si>
  <si>
    <r>
      <t>an integrated system of care, with robust care coordination and increased investments in primary care, home health care, and long-term care; </t>
    </r>
    <r>
      <rPr>
        <sz val="11"/>
        <rFont val="Arial"/>
        <family val="2"/>
      </rPr>
      <t>​</t>
    </r>
    <r>
      <rPr>
        <sz val="11"/>
        <rFont val="Aptos"/>
        <family val="2"/>
      </rPr>
      <t>  </t>
    </r>
  </si>
  <si>
    <t>stabilizing health care providers, controlling the costs of commercial health insurance, and managing hospital costs based on the total cost of care, beginning with reference-based pricing and continuing to global hospital budgets;  </t>
  </si>
  <si>
    <t>4 </t>
  </si>
  <si>
    <t>evaluating progress in achieving system transformation and structural changes by creating and applying standardized accountability metrics; and  </t>
  </si>
  <si>
    <t>5 </t>
  </si>
  <si>
    <t>establishing a health care system that will attract and retain high- quality health care professionals to practice in Vermont and that supports, develops, and preserves the dignity of Vermont’s health care workforce.  </t>
  </si>
  <si>
    <t>Goals:</t>
  </si>
  <si>
    <t xml:space="preserve">A transformation goal is defined as a significant and fundamental shift in how care is provided to support better health, better care, and lower costs.  </t>
  </si>
  <si>
    <t>A regional goal is a collective goal set by a multiple organizations, hospitals and/or other health provider such as primary care, home health, residential, etc. or communities within a geographic area.</t>
  </si>
  <si>
    <t>Objectives and Themes:</t>
  </si>
  <si>
    <t>The objective of each goal should be hospital, regional or statewide.</t>
  </si>
  <si>
    <t>The theme of each goal can be Clinical Service Redesign, Transfers and Transport, Shared Purchasing, Information Technology, Workforce Development or Other.</t>
  </si>
  <si>
    <t>Submission Deadline:</t>
  </si>
  <si>
    <t>Draft plans due January 15, 2026; final plans due after AHS review.</t>
  </si>
  <si>
    <t xml:space="preserve">File Naming Convention: </t>
  </si>
  <si>
    <t>HospitalName_TransformationPlan_YYMMDD.xlsx</t>
  </si>
  <si>
    <t>Please know that all submissions are subject to Vermont public records law, see 1 V.S.A. §315-320. </t>
  </si>
  <si>
    <t>Hospital Name</t>
  </si>
  <si>
    <t>North Country Hospital and Health Center</t>
  </si>
  <si>
    <t>County</t>
  </si>
  <si>
    <t>Orleans</t>
  </si>
  <si>
    <t>TIN</t>
  </si>
  <si>
    <t>03-0185556</t>
  </si>
  <si>
    <t>CCN</t>
  </si>
  <si>
    <t>47-1304</t>
  </si>
  <si>
    <t>Hospital Number</t>
  </si>
  <si>
    <t>Chief Executive Officer</t>
  </si>
  <si>
    <t>Thomas Frank, President &amp; CEO</t>
  </si>
  <si>
    <t>Senior Clinical Lead</t>
  </si>
  <si>
    <t>Denise Carter, CNO</t>
  </si>
  <si>
    <t>Senior Finance Lead</t>
  </si>
  <si>
    <t>Anita Flagg, CFO</t>
  </si>
  <si>
    <t>Senior Operations Lead</t>
  </si>
  <si>
    <t>Tracey Paul, COO</t>
  </si>
  <si>
    <t>Other Senior Leadership</t>
  </si>
  <si>
    <t>Katie Peck, HR Director</t>
  </si>
  <si>
    <t>Transformation Champion (who will own this work)</t>
  </si>
  <si>
    <t>Type of Hospital (PPS or CAH)</t>
  </si>
  <si>
    <t>CAH</t>
  </si>
  <si>
    <t>Hospital ownership (independent or system)</t>
  </si>
  <si>
    <t>Independent</t>
  </si>
  <si>
    <t>Number of hospital staffed beds</t>
  </si>
  <si>
    <t>Electronic health record system</t>
  </si>
  <si>
    <t>Cerner Community Works</t>
  </si>
  <si>
    <t xml:space="preserve">Transformation Goal                          (hospital, regional, statewide)                              </t>
  </si>
  <si>
    <t>Does this goal focus on hospital or regional objectives                              DROP DOWN</t>
  </si>
  <si>
    <t>Does this goal focus on one of the followng themes                       DROP DOWN</t>
  </si>
  <si>
    <t xml:space="preserve">What Action Steps will be taken to accomplish the Transformation Goal?  List up to 12 Action Steps for each Transformation Goal.   Include specific details on how these goals will be planned and executed.                                                                                         </t>
  </si>
  <si>
    <t xml:space="preserve">List any stakeholders that will require coordination to achieve this goal (ie; hospitals,providers, shared purchasing entities)                           </t>
  </si>
  <si>
    <t xml:space="preserve">Explain what actions have been and will be taken to engage stakeholders, if applicable    </t>
  </si>
  <si>
    <t>What is the dollar value of investment required?            DOLLAR ENTRY</t>
  </si>
  <si>
    <t>How was the investment dollar value determined? DROP DOWN</t>
  </si>
  <si>
    <t xml:space="preserve">What are the potential cost savings?  Include method of analysis or guiding resources                   </t>
  </si>
  <si>
    <t xml:space="preserve">What data measure(s) will be used to determine success?    Metrics should measure progress and long term outcomes.                           </t>
  </si>
  <si>
    <t xml:space="preserve">What is the Goal start date?  </t>
  </si>
  <si>
    <t>Target completion date</t>
  </si>
  <si>
    <t xml:space="preserve">Who is responsible to ensure this Goal is carried out? Enter person's last name, not title.                   </t>
  </si>
  <si>
    <t xml:space="preserve">Briefly summarize your sustainability plan                       </t>
  </si>
  <si>
    <t xml:space="preserve">Are there workforce implications?    </t>
  </si>
  <si>
    <t xml:space="preserve">Please add additonal notes, concerns or barriers if needed                                                                                                           </t>
  </si>
  <si>
    <t>Goal</t>
  </si>
  <si>
    <t>Objective</t>
  </si>
  <si>
    <t>Themes</t>
  </si>
  <si>
    <t>Action Steps</t>
  </si>
  <si>
    <t>Stakeholders</t>
  </si>
  <si>
    <t>Stakeholder Engagement</t>
  </si>
  <si>
    <t>$$$</t>
  </si>
  <si>
    <t>Detail behind investment</t>
  </si>
  <si>
    <t>Cost Savings</t>
  </si>
  <si>
    <t>Measurement</t>
  </si>
  <si>
    <t xml:space="preserve"> Start Date</t>
  </si>
  <si>
    <t>Completion Date</t>
  </si>
  <si>
    <t>Responsibility</t>
  </si>
  <si>
    <t>Sustainability</t>
  </si>
  <si>
    <t>Workforce</t>
  </si>
  <si>
    <t>Notes, Concerns or Barriers</t>
  </si>
  <si>
    <t>1. Implement new electronic health record system to improve clinical, operational, and financial efficiency and create opportunities for greater regional and statewide care delivery transformation for NCH and patients.</t>
  </si>
  <si>
    <t>Hospital</t>
  </si>
  <si>
    <t>Information Technology</t>
  </si>
  <si>
    <t>(1) Utilized IT Steering Committee to evaluate vendors. (2) Made recommendations to Medical Executive Committee, and Senior Leadership Team. (3) Received Board approval to continue process. (4) Engage EHR vendor to complete contract. (5) Complete pre go-live work. (6) Complete go-live and post go-live stabilization, and optimization. (7) Engage regional and statewide partners to improve care coordination and transformation.</t>
  </si>
  <si>
    <t>Patients, physicians, nurse practitioners, physician assistants, nursing staff, other clinical staff, clinical support staff, administrative staff, business operations staff, Board members, regional and statewide provider partners.</t>
  </si>
  <si>
    <t>Assigned selection process to IT Steering Committee ; reviewed 3rd party vendor ratings; defined selection criteria and weighting; engaged providers and staff in product demos, reference calls, and site visits; collected structured feedback and scoring; presented IT Steering Committee findings and recommendation to senior leadership team, medical staff, and at town hall (all staff) meetings; presented to Board of Trustees</t>
  </si>
  <si>
    <t>Vendor quote</t>
  </si>
  <si>
    <t>Within 2 years post go-live: (1) eliminate outsourced billing service save $2.5m/year; (2) reduce positions added to support current EHR save &gt;$300k/year; (3) improve practice efficiency recapture +$1m revenue ; monthly cost of new system same as current EHR</t>
  </si>
  <si>
    <t xml:space="preserve">primary care providers seeing 20 patients/day as they did prior to current EHR; improved collection % on billed services; removal of outsourced billing services within 2 years after go-live; reduction of positions added to support current EHR within 2 years; </t>
  </si>
  <si>
    <t xml:space="preserve">In process  </t>
  </si>
  <si>
    <t xml:space="preserve"> Sept, 2027 (stabilization)</t>
  </si>
  <si>
    <t>Frank</t>
  </si>
  <si>
    <t>Work with implementation partner (OCHIN) with track record of successful Epic implementations for small, rural hospitals</t>
  </si>
  <si>
    <t>Temporary staff to support build, training, and go-live support; reduction in current positions that were added to support current EHR functionality</t>
  </si>
  <si>
    <t xml:space="preserve">Costs to implement; ability to hire/retain staff to implement; temporary disruptions to patient volumes during go-live; </t>
  </si>
  <si>
    <t>2.Engage regional and statewide partners to identify gaps in needed services in Northeast Kingdom, focused on urology and pulmonology to begin, and implement plan to collaboratively meet those needs.</t>
  </si>
  <si>
    <t>Regional</t>
  </si>
  <si>
    <t>Clinical Service Redesign</t>
  </si>
  <si>
    <t>1. Create business plan to include patient need, access, and affordability; financial viability; workforce; and communication strategy. 2. Engage UVMMC in planning, contracting, and recruitment. 3. Implement communication strategy with all stakeholders. 4. Complete practice (re) start-up activities in conjunction with UVMMC and NCH participants.</t>
  </si>
  <si>
    <t>UVMMC providers, UVMMC practice leadership, NCH patients, NCH primary care providers, NCH practice clinical and support staff, NCH hospital and ancillary clinical staff, NCH administrative, operational, and financial leadership.</t>
  </si>
  <si>
    <t xml:space="preserve">Held preliminary discussions with UVMMC leadership and agreed in principle to pursue agreement; further discussion and negotiation with UVMMC practice leadership; directly engage NCH Medical Executive Committee, primary care providers, nursing, clinical, and support staff; report to and receive input from NCH Board of Trustees; inform patients/community that services have been reestablished at NCH </t>
  </si>
  <si>
    <t>Business Case</t>
  </si>
  <si>
    <r>
      <t xml:space="preserve">$1.178,632 - reduction of ED and I/P services, net of practice revenues: </t>
    </r>
    <r>
      <rPr>
        <sz val="11"/>
        <color rgb="FFFF0000"/>
        <rFont val="Aptos Narrow"/>
        <family val="2"/>
        <scheme val="minor"/>
      </rPr>
      <t>this would save the health system $743,454 per year</t>
    </r>
  </si>
  <si>
    <t>meet or exceed MGMA productivity standards for specialties; reduction in ED and I/P utilization for pulmonary and urological diagnoses</t>
  </si>
  <si>
    <t>In process</t>
  </si>
  <si>
    <t>October 1, 2026</t>
  </si>
  <si>
    <t>Paul</t>
  </si>
  <si>
    <t>NCH has non-provider clinical and support staff to support the service; history of supporting urology practices; culture receptive to NP and PA providers; acceptance of telehealth to support services</t>
  </si>
  <si>
    <t>Recruit, and retain providers</t>
  </si>
  <si>
    <t>GMCB budget approval; time to recruit candidates</t>
  </si>
  <si>
    <t>3.Establish shared services with Northeastern VT Regional Hospital</t>
  </si>
  <si>
    <t xml:space="preserve">(1) Established shared regional pharmacy director position, replacing NCH only director position; (2) Work with NVRH to identify areas for further collaboration;  </t>
  </si>
  <si>
    <t>Administrative, operational, clinical, and Board leaders at NCH and NVRH</t>
  </si>
  <si>
    <t>Hold periodic planning and operational meetings with NVRH and NCH leaders and Board members</t>
  </si>
  <si>
    <t>Staff costs</t>
  </si>
  <si>
    <t>Save $68,400 in annual salary costs</t>
  </si>
  <si>
    <t>Salary savings</t>
  </si>
  <si>
    <t>July 2025</t>
  </si>
  <si>
    <t>On going</t>
  </si>
  <si>
    <t>reduced 0.40 FTE</t>
  </si>
  <si>
    <t>4.Invest in the NCH workforce to meet the health care needs of our community</t>
  </si>
  <si>
    <t>created and maintained (1) scholarship program for students seeking education/training in health-related fields in our communities; (2) RN new grad residency program; (3) training site for VTSU RN &amp; LPN students; (4) extern program for RN students pre-graduation; (5) LNA clinical training site; (6) internal surgical/PACU tech training program; (7) internal medical assistant training program; (8) RN loan repayment program; (9) partner with North Country Career Center on high school and adult shadowing program; (10) Participate in the Step Up to Healthcare program</t>
  </si>
  <si>
    <t xml:space="preserve">Community members/students, NCH employees, VTSU, AHEC, local schools </t>
  </si>
  <si>
    <t>Regular communication with employees, VTSU, local schools, AHEC</t>
  </si>
  <si>
    <t>Reduced use of temporary staff, improvement in employee turnover/retention</t>
  </si>
  <si>
    <t>Peck</t>
  </si>
  <si>
    <t>Raise funds annually for staff development through events; work with AHEC to identify funds available to support employees and community members</t>
  </si>
  <si>
    <t>Replace temp staff with permanent; reduce additional costs associated with temporary staffing</t>
  </si>
  <si>
    <t>Too few people in the work force to meet staffing needs</t>
  </si>
  <si>
    <t xml:space="preserve">5. Identify and implement cost-saving initiatives </t>
  </si>
  <si>
    <t>(1) eliminated Chief Information Officer position; (2) eliminated Revenue Cycle Director position; (3) replaced Pharmacy Director position with shared Regional Pharmacy Director (see above); (4) replaced Assistant Quality Director position with Quality Manager; (5) eliminated Chief Medical Officer position and assigned duties to Medical Staff President; (6) created Value Analysis Team; (7) establish Position Control process for evaluating open and requested positions; (8) restrict use of premium pay programs; (9) freeze non-essential travel; (10) Re-engaged organization-wide productivity analysis system; (11) benchmark provider productivity against national and state standards; (12) benchmark senior leadership compensation against northern New England survey - target &lt;50th percentile</t>
  </si>
  <si>
    <t>NCH senior leadership, Finance Committee, Board of Trustees, departmental leadership and staff</t>
  </si>
  <si>
    <t>Plans developed by sr. leadership; communicated with all stakeholder groups; operationalized with departmental leadership and staff</t>
  </si>
  <si>
    <t>$520,345 (salaries); $289,519 (other exps) - these costs are annual savings</t>
  </si>
  <si>
    <t>Cost savings</t>
  </si>
  <si>
    <t>June 2025</t>
  </si>
  <si>
    <t>Sr. leaders providing support to departmental leaders; established new reporting structure, where necessary</t>
  </si>
  <si>
    <t>reduced 2.50 leadership FTE to date, not counting Reg. Pharm Director</t>
  </si>
  <si>
    <t>6.Engage national consulting groups to evaluate revenue cycle and primary care operational efficiencies</t>
  </si>
  <si>
    <t>Other</t>
  </si>
  <si>
    <t>(1) Engaged Forvis to evaluate revenue cycle performance and recommend necessary changes; (2) engaged Kaufman Hall to evaluate primary care efficiency and productivity</t>
  </si>
  <si>
    <t>NCH senior leadership, revenue cycle leadership, 3rd party billing partner, practice leadership, medical staff and practice staff</t>
  </si>
  <si>
    <t>Leadership and staff in departments involved in engagement and implementation</t>
  </si>
  <si>
    <t>Reduced outstanding A/R balances by $8m since April 2024</t>
  </si>
  <si>
    <t>Practice productivity (measured among highest of VT hospitals); improvement in billing denial rates and collections</t>
  </si>
  <si>
    <t>April 2024</t>
  </si>
  <si>
    <t>Hold regular operational meetings with 3rd party billing partner, track rev cycle performancy metrics; tracking provider productivity</t>
  </si>
  <si>
    <t>No</t>
  </si>
  <si>
    <t>7.Engaged consultant to evaluate, and refile Medicare Cost Reports</t>
  </si>
  <si>
    <t>(1) Contract with consultant to evaluate, adjust, and refile prior year Medicare Cost Reports (MCR); (2) submit reopened MCRs for fiscal years 2016 - 2023</t>
  </si>
  <si>
    <t>Medicare Administrative Contractor (MAC), NCH finance and administrative leadership, MCR consultant</t>
  </si>
  <si>
    <t>officially notified MAC of intent to reopen MCRs; submitted documentation</t>
  </si>
  <si>
    <t>future collections on refiled MCR years 2016 - 2020. estimated at $2.8m</t>
  </si>
  <si>
    <t>Fall 2024</t>
  </si>
  <si>
    <t>Fall 2026 - estimated</t>
  </si>
  <si>
    <t>Cost reporting methodology has been adopted for future filings</t>
  </si>
  <si>
    <t>Have received preliminary settlements for MCR year 2021 - 2023. Earlier MCRs are being process by the MAC.</t>
  </si>
  <si>
    <t>Risk #</t>
  </si>
  <si>
    <t>Risk type                                                                           MULT CHOICE</t>
  </si>
  <si>
    <t>Goal(s) associated with this Risk</t>
  </si>
  <si>
    <t xml:space="preserve">Risk Description                                                                                                                                                     </t>
  </si>
  <si>
    <t xml:space="preserve">Mitigation Strategy                                                          </t>
  </si>
  <si>
    <t xml:space="preserve">Contingency Plan                                        </t>
  </si>
  <si>
    <t>Likelihood                                DROP DOWN</t>
  </si>
  <si>
    <t xml:space="preserve">Impact Severity                                          (Level of effect if it happens) </t>
  </si>
  <si>
    <t>Status                                                                                 DROP DOWN</t>
  </si>
  <si>
    <t>1.1: EHR</t>
  </si>
  <si>
    <t>Work Force</t>
  </si>
  <si>
    <t>Maintain adequate staffing to complete planning, build, testing, training, and go-live support</t>
  </si>
  <si>
    <t>Leaders to identify internal resources to assign to these tasks</t>
  </si>
  <si>
    <t>Work with implementation partner to identify gaps and obtain temporary staff to either work on these tasks or backfill NCH staff while they perform these tasks</t>
  </si>
  <si>
    <t>High</t>
  </si>
  <si>
    <t>Significant</t>
  </si>
  <si>
    <t>Open</t>
  </si>
  <si>
    <t>1.2: EHR</t>
  </si>
  <si>
    <t>Financial Stability</t>
  </si>
  <si>
    <t>Additional operational costs to support project pre and post go-live and short-term productivity and revenue loss post go-live which could impact financial performance short-term</t>
  </si>
  <si>
    <t>Reassign and utilize internal staff wherever possible to complete project tasks; ensure provider and staff engagement in build, training, and support to reduce post go-live impact</t>
  </si>
  <si>
    <t>Obtain temp staff pre go-live to lessen impact post go-live; retain current outsourced revenue cycle contractor until we obtain post go-live stability; continue engagement with outsourced billing partner</t>
  </si>
  <si>
    <t>Medium</t>
  </si>
  <si>
    <t>2.1: Svc collaboration</t>
  </si>
  <si>
    <t>Acess to Care</t>
  </si>
  <si>
    <t>Time to recruit providers in collaboration with UVMMC</t>
  </si>
  <si>
    <t>NCH to engage its medical staff leaders to assist; NCH to share costs with UVMMC</t>
  </si>
  <si>
    <t>Utilize UVMMC NP or PA staff, and telehealth, where applicable, until permanent providers are recruited</t>
  </si>
  <si>
    <t>Moderate</t>
  </si>
  <si>
    <t>3.1: Shared services</t>
  </si>
  <si>
    <t>Ability to meet needs of multiple organizations</t>
  </si>
  <si>
    <t>Meet and/or communicate regularly with hopsital leadership teams</t>
  </si>
  <si>
    <t>5.1: Cost Saving</t>
  </si>
  <si>
    <t>Maintain adequate staffing and resources to meet needs of community</t>
  </si>
  <si>
    <t>Continually measure clinical, operational, and financial performance to identify improvement needs; conduct recurring employee engagement surveys and act accordingly</t>
  </si>
  <si>
    <t>Pursue regional and statewide collaboration to meet needs</t>
  </si>
  <si>
    <t>A description of potential risks associated with the proposed care delivery transformation and implementation should be captured in the Risk Mitigation Plan. The purpose of the Risk Mitigation Plan is to document what risks the hospital sees to different stakeholders and outcomes, as well as strategies to mitigate them.  Complete this step once the hospital has a well-defined set of goals and action steps outlined. This Risk Mitigation Plan should be concise and specific as to the ways in which the hospital will work to minimize the risk associated with implementation.</t>
  </si>
  <si>
    <t>Comm ID</t>
  </si>
  <si>
    <t>Date/Planned Date</t>
  </si>
  <si>
    <t>Stakeholder Name</t>
  </si>
  <si>
    <t>Communication Objective</t>
  </si>
  <si>
    <t>Communication Method                                                  DROP DOWN</t>
  </si>
  <si>
    <t>Frequency                                                   DROP DOWN</t>
  </si>
  <si>
    <t>Status                                      DROP DOWN</t>
  </si>
  <si>
    <t>Notes</t>
  </si>
  <si>
    <t>1 - planning</t>
  </si>
  <si>
    <t>October 2025</t>
  </si>
  <si>
    <t>NCH providers, staff, Board</t>
  </si>
  <si>
    <t>Engage internal stakeholders in project need, planning, and vendor selection</t>
  </si>
  <si>
    <t>Meeting</t>
  </si>
  <si>
    <t>As Needed</t>
  </si>
  <si>
    <t>Complete</t>
  </si>
  <si>
    <t>Months long process, completed in October 2025</t>
  </si>
  <si>
    <t>1 - pre go-live</t>
  </si>
  <si>
    <t>Feb 2026 - March 2027</t>
  </si>
  <si>
    <t>Engage in process change management activities; inform of timelines, activities, and expectations to prepare for go-live; report on progress to date and next steps; receive feedback on all of the above</t>
  </si>
  <si>
    <t>Meetings, emails, newsletters</t>
  </si>
  <si>
    <t>Planned</t>
  </si>
  <si>
    <t>Frequency of meetings and other communication to be developed prior to formal "kick-off" and amended as needs dictate</t>
  </si>
  <si>
    <t>1 - pre and post go-live</t>
  </si>
  <si>
    <t>Dec 2026 - Sept 2027</t>
  </si>
  <si>
    <t>Patients</t>
  </si>
  <si>
    <t>Inform of system change, goals of change, timelines, how to access their records, and progress post go-live</t>
  </si>
  <si>
    <t>Local, and social media, emails, and newsletters, internal signage and materials</t>
  </si>
  <si>
    <t>Formal plan to be developed closer to planned date</t>
  </si>
  <si>
    <t>1 - post go-live</t>
  </si>
  <si>
    <t>March - Sept 2027</t>
  </si>
  <si>
    <t>Inform on project status; receive feedback on implementation and needed changes</t>
  </si>
  <si>
    <t>2 - service collaboration</t>
  </si>
  <si>
    <t>Winter 2026</t>
  </si>
  <si>
    <t>NCH patients, providers, staff</t>
  </si>
  <si>
    <t>Inform of availability of services locally and UVMMC collaboration</t>
  </si>
  <si>
    <t>Meetings, emails, newsletters, local and social media</t>
  </si>
  <si>
    <t>Regular and as needed</t>
  </si>
  <si>
    <t>Timing dependent on progress in establishing agreement w/UVMMC and recruitment</t>
  </si>
  <si>
    <t>4 - workforce investment</t>
  </si>
  <si>
    <t>NCH employees, community members, partners</t>
  </si>
  <si>
    <t>Inform of opportunities and resources available at NCH</t>
  </si>
  <si>
    <t>5. cost savings</t>
  </si>
  <si>
    <t>NCH providers, staff, Board, community</t>
  </si>
  <si>
    <t>Inform of efforts to continually improve efficiency and affordability</t>
  </si>
  <si>
    <t>6. rev cycle and practice efficiency</t>
  </si>
  <si>
    <t>NCH providers, practice and departmental leadership and staff</t>
  </si>
  <si>
    <t>Meetings, email</t>
  </si>
  <si>
    <t>The communication tab tracks all regular project interactions to ensure consistent, transparent engagement with key stakeholders.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</si>
</sst>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_(&quot;$&quot;* #,##0_);_(&quot;$&quot;* \(#,##0\);_(&quot;$&quot;* &quot;-&quot;??_);_(@_)"/>
    <numFmt numFmtId="165" formatCode="_([$$-409]* #,##0.00_);_([$$-409]* \(#,##0.00\);_([$$-409]* &quot;-&quot;??_);_(@_)"/>
    <numFmt numFmtId="166" formatCode="[$$-409]#,##0.00_);\([$$-409]#,##0.00\)"/>
  </numFmts>
  <fonts count="20">
    <font>
      <sz val="11"/>
      <color theme="1"/>
      <name val="Aptos Narrow"/>
      <family val="2"/>
      <scheme val="minor"/>
    </font>
    <font>
      <sz val="11"/>
      <color theme="1"/>
      <name val="Aptos Narrow"/>
      <family val="2"/>
      <scheme val="minor"/>
    </font>
    <font>
      <sz val="14"/>
      <color theme="1"/>
      <name val="Aptos Narrow"/>
      <family val="2"/>
      <scheme val="minor"/>
    </font>
    <font>
      <sz val="14"/>
      <color rgb="FF000000"/>
      <name val="Aptos Narrow"/>
      <family val="2"/>
      <scheme val="minor"/>
    </font>
    <font>
      <b/>
      <sz val="12"/>
      <color rgb="FF000000"/>
      <name val="Aptos Narrow"/>
      <family val="2"/>
      <scheme val="minor"/>
    </font>
    <font>
      <sz val="12"/>
      <color theme="1"/>
      <name val="Aptos Narrow"/>
      <family val="2"/>
      <scheme val="minor"/>
    </font>
    <font>
      <sz val="12"/>
      <color rgb="FF000000"/>
      <name val="Aptos Narrow"/>
      <family val="2"/>
      <scheme val="minor"/>
    </font>
    <font>
      <sz val="12"/>
      <color theme="1"/>
      <name val="Aptos Narrow"/>
      <family val="2"/>
      <scheme val="minor"/>
    </font>
    <font>
      <b/>
      <sz val="11"/>
      <color theme="0"/>
      <name val="Aptos Narrow"/>
      <family val="2"/>
      <scheme val="minor"/>
    </font>
    <font>
      <sz val="11"/>
      <color theme="1"/>
      <name val="Aptos Narrow"/>
      <family val="2"/>
      <scheme val="minor"/>
    </font>
    <font>
      <sz val="11"/>
      <color rgb="FF000000"/>
      <name val="Aptos Narrow"/>
      <family val="2"/>
      <scheme val="minor"/>
    </font>
    <font>
      <b/>
      <sz val="11"/>
      <color theme="1"/>
      <name val="Aptos Narrow"/>
      <family val="2"/>
      <scheme val="minor"/>
    </font>
    <font>
      <b/>
      <sz val="11"/>
      <color rgb="FF000000"/>
      <name val="Aptos Narrow"/>
      <family val="2"/>
      <scheme val="minor"/>
    </font>
    <font>
      <b/>
      <sz val="11"/>
      <name val="Aptos Narrow"/>
      <family val="2"/>
      <scheme val="minor"/>
    </font>
    <font>
      <sz val="11"/>
      <color theme="3" tint="0.249977111117893"/>
      <name val="Aptos Narrow"/>
      <family val="2"/>
      <scheme val="minor"/>
    </font>
    <font>
      <b/>
      <sz val="11"/>
      <name val="Aptos"/>
      <family val="2"/>
    </font>
    <font>
      <sz val="11"/>
      <name val="Aptos"/>
      <family val="2"/>
    </font>
    <font>
      <sz val="11"/>
      <name val="Arial"/>
      <family val="2"/>
    </font>
    <font>
      <b/>
      <sz val="12"/>
      <color theme="1"/>
      <name val="Aptos Narrow"/>
      <family val="2"/>
      <scheme val="minor"/>
    </font>
    <font>
      <sz val="11"/>
      <color rgb="FFFF0000"/>
      <name val="Aptos Narrow"/>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9" tint="-0.249977111117893"/>
        <bgColor indexed="64"/>
      </patternFill>
    </fill>
    <fill>
      <patternFill patternType="solid">
        <fgColor rgb="FFE8E8E8"/>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medium">
        <color indexed="64"/>
      </right>
      <top style="medium">
        <color indexed="64"/>
      </top>
      <bottom/>
      <diagonal/>
    </border>
    <border>
      <left style="thin">
        <color indexed="64"/>
      </left>
      <right/>
      <top style="thin">
        <color indexed="64"/>
      </top>
      <bottom/>
      <diagonal/>
    </border>
    <border>
      <left style="thin">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2">
    <xf numFmtId="0" fontId="0" fillId="0" borderId="0"/>
    <xf numFmtId="44" fontId="1" fillId="0" borderId="0" applyFont="0" applyFill="0" applyBorder="0" applyAlignment="0" applyProtection="0"/>
  </cellStyleXfs>
  <cellXfs count="66">
    <xf numFmtId="0" fontId="0" fillId="0" borderId="0" xfId="0"/>
    <xf numFmtId="0" fontId="4" fillId="2" borderId="1" xfId="0" applyFont="1" applyFill="1" applyBorder="1" applyAlignment="1">
      <alignment horizontal="left" vertical="top" wrapText="1"/>
    </xf>
    <xf numFmtId="0" fontId="5" fillId="0" borderId="0" xfId="0" applyFont="1" applyAlignment="1">
      <alignment horizontal="left" vertical="top"/>
    </xf>
    <xf numFmtId="0" fontId="2" fillId="0" borderId="0" xfId="0" applyFont="1" applyAlignment="1">
      <alignment vertical="top"/>
    </xf>
    <xf numFmtId="0" fontId="2" fillId="0" borderId="0" xfId="0" applyFont="1" applyAlignment="1">
      <alignment horizontal="left" vertical="top"/>
    </xf>
    <xf numFmtId="0" fontId="4" fillId="2" borderId="1" xfId="0" applyFont="1" applyFill="1" applyBorder="1" applyAlignment="1">
      <alignment horizontal="left" vertical="top"/>
    </xf>
    <xf numFmtId="0" fontId="4" fillId="2" borderId="4" xfId="0" applyFont="1" applyFill="1" applyBorder="1" applyAlignment="1">
      <alignment horizontal="left" vertical="top" wrapText="1"/>
    </xf>
    <xf numFmtId="0" fontId="4" fillId="2" borderId="6" xfId="0" applyFont="1" applyFill="1" applyBorder="1" applyAlignment="1">
      <alignment horizontal="left" vertical="top" wrapText="1"/>
    </xf>
    <xf numFmtId="0" fontId="4" fillId="2" borderId="6" xfId="0" applyFont="1" applyFill="1" applyBorder="1" applyAlignment="1">
      <alignment horizontal="left" vertical="top"/>
    </xf>
    <xf numFmtId="0" fontId="5" fillId="0" borderId="0" xfId="0" applyFont="1" applyAlignment="1">
      <alignment vertical="top"/>
    </xf>
    <xf numFmtId="0" fontId="7" fillId="0" borderId="0" xfId="0" applyFont="1" applyAlignment="1">
      <alignment horizontal="left" vertical="top"/>
    </xf>
    <xf numFmtId="0" fontId="7" fillId="0" borderId="0" xfId="0" applyFont="1"/>
    <xf numFmtId="0" fontId="8" fillId="3" borderId="1" xfId="0" applyFont="1" applyFill="1" applyBorder="1" applyAlignment="1">
      <alignment horizontal="center" vertical="center" wrapText="1"/>
    </xf>
    <xf numFmtId="0" fontId="8" fillId="3" borderId="8" xfId="0" applyFont="1" applyFill="1" applyBorder="1" applyAlignment="1">
      <alignment horizontal="center" vertical="center" wrapText="1"/>
    </xf>
    <xf numFmtId="164" fontId="8" fillId="3" borderId="1" xfId="1" applyNumberFormat="1" applyFont="1" applyFill="1" applyBorder="1" applyAlignment="1">
      <alignment horizontal="center" vertical="center" wrapText="1"/>
    </xf>
    <xf numFmtId="164" fontId="8" fillId="3" borderId="8" xfId="1" applyNumberFormat="1" applyFont="1" applyFill="1" applyBorder="1" applyAlignment="1">
      <alignment horizontal="center" vertical="center" wrapText="1"/>
    </xf>
    <xf numFmtId="0" fontId="8" fillId="3" borderId="4" xfId="0" applyFont="1" applyFill="1" applyBorder="1" applyAlignment="1">
      <alignment horizontal="center" vertical="center" wrapText="1"/>
    </xf>
    <xf numFmtId="0" fontId="8" fillId="3" borderId="5" xfId="0" applyFont="1" applyFill="1" applyBorder="1" applyAlignment="1">
      <alignment horizontal="center" vertical="center" wrapText="1"/>
    </xf>
    <xf numFmtId="0" fontId="9" fillId="0" borderId="0" xfId="0" applyFont="1"/>
    <xf numFmtId="0" fontId="9" fillId="0" borderId="0" xfId="0" applyFont="1" applyAlignment="1">
      <alignment horizontal="left" vertical="top"/>
    </xf>
    <xf numFmtId="0" fontId="10" fillId="0" borderId="6" xfId="0" applyFont="1" applyBorder="1" applyAlignment="1">
      <alignment horizontal="left" vertical="top" wrapText="1"/>
    </xf>
    <xf numFmtId="0" fontId="12" fillId="2" borderId="1" xfId="0" applyFont="1" applyFill="1" applyBorder="1" applyAlignment="1">
      <alignment horizontal="left" vertical="top" wrapText="1"/>
    </xf>
    <xf numFmtId="0" fontId="11" fillId="2" borderId="1" xfId="0" applyFont="1" applyFill="1" applyBorder="1" applyAlignment="1">
      <alignment horizontal="left" vertical="top" wrapText="1"/>
    </xf>
    <xf numFmtId="164" fontId="11" fillId="2" borderId="1" xfId="1" applyNumberFormat="1" applyFont="1" applyFill="1" applyBorder="1" applyAlignment="1">
      <alignment horizontal="left" vertical="top" wrapText="1"/>
    </xf>
    <xf numFmtId="0" fontId="13" fillId="2" borderId="1" xfId="0" applyFont="1" applyFill="1" applyBorder="1" applyAlignment="1">
      <alignment horizontal="left" vertical="top" wrapText="1"/>
    </xf>
    <xf numFmtId="0" fontId="11" fillId="2" borderId="2" xfId="0" applyFont="1" applyFill="1" applyBorder="1" applyAlignment="1">
      <alignment horizontal="left" vertical="top" wrapText="1"/>
    </xf>
    <xf numFmtId="0" fontId="11" fillId="2" borderId="3" xfId="0" applyFont="1" applyFill="1" applyBorder="1" applyAlignment="1">
      <alignment horizontal="left" vertical="top" wrapText="1"/>
    </xf>
    <xf numFmtId="0" fontId="14" fillId="0" borderId="6" xfId="0" applyFont="1" applyBorder="1" applyAlignment="1">
      <alignment horizontal="left" vertical="top"/>
    </xf>
    <xf numFmtId="0" fontId="10" fillId="0" borderId="1" xfId="0" applyFont="1" applyBorder="1" applyAlignment="1">
      <alignment horizontal="left" vertical="top" wrapText="1"/>
    </xf>
    <xf numFmtId="0" fontId="10" fillId="0" borderId="1" xfId="0" applyFont="1" applyBorder="1" applyAlignment="1" applyProtection="1">
      <alignment horizontal="left" vertical="top" wrapText="1"/>
      <protection locked="0"/>
    </xf>
    <xf numFmtId="0" fontId="10" fillId="0" borderId="7" xfId="0" applyFont="1" applyBorder="1" applyAlignment="1" applyProtection="1">
      <alignment horizontal="left" vertical="top" wrapText="1"/>
      <protection locked="0"/>
    </xf>
    <xf numFmtId="0" fontId="10" fillId="0" borderId="6" xfId="0" applyFont="1" applyBorder="1" applyAlignment="1">
      <alignment horizontal="left" vertical="top"/>
    </xf>
    <xf numFmtId="165" fontId="10" fillId="0" borderId="9" xfId="0" applyNumberFormat="1" applyFont="1" applyBorder="1" applyAlignment="1">
      <alignment horizontal="left" vertical="top"/>
    </xf>
    <xf numFmtId="165" fontId="10" fillId="0" borderId="6" xfId="0" applyNumberFormat="1" applyFont="1" applyBorder="1" applyAlignment="1">
      <alignment horizontal="left" vertical="top"/>
    </xf>
    <xf numFmtId="4" fontId="10" fillId="0" borderId="1" xfId="0" applyNumberFormat="1" applyFont="1" applyBorder="1" applyAlignment="1" applyProtection="1">
      <alignment horizontal="left" vertical="top"/>
      <protection locked="0"/>
    </xf>
    <xf numFmtId="14" fontId="10" fillId="0" borderId="6" xfId="0" applyNumberFormat="1" applyFont="1" applyBorder="1" applyAlignment="1">
      <alignment horizontal="left" vertical="top"/>
    </xf>
    <xf numFmtId="0" fontId="10" fillId="0" borderId="0" xfId="0" applyFont="1" applyAlignment="1">
      <alignment horizontal="left" vertical="top"/>
    </xf>
    <xf numFmtId="0" fontId="5" fillId="0" borderId="6" xfId="0" applyFont="1" applyBorder="1" applyAlignment="1">
      <alignment vertical="top"/>
    </xf>
    <xf numFmtId="0" fontId="0" fillId="0" borderId="0" xfId="0" applyAlignment="1">
      <alignment vertical="top"/>
    </xf>
    <xf numFmtId="0" fontId="6" fillId="0" borderId="1" xfId="0" applyFont="1" applyBorder="1" applyAlignment="1">
      <alignment vertical="top"/>
    </xf>
    <xf numFmtId="0" fontId="5" fillId="0" borderId="0" xfId="0" applyFont="1"/>
    <xf numFmtId="0" fontId="18" fillId="0" borderId="0" xfId="0" applyFont="1"/>
    <xf numFmtId="0" fontId="16" fillId="0" borderId="12" xfId="0" applyFont="1" applyBorder="1" applyAlignment="1">
      <alignment horizontal="center" vertical="center" wrapText="1" readingOrder="1"/>
    </xf>
    <xf numFmtId="0" fontId="16" fillId="0" borderId="13" xfId="0" applyFont="1" applyBorder="1" applyAlignment="1">
      <alignment vertical="center" wrapText="1" readingOrder="1"/>
    </xf>
    <xf numFmtId="0" fontId="16" fillId="0" borderId="14" xfId="0" applyFont="1" applyBorder="1" applyAlignment="1">
      <alignment horizontal="center" vertical="center" wrapText="1" readingOrder="1"/>
    </xf>
    <xf numFmtId="0" fontId="16" fillId="0" borderId="15" xfId="0" applyFont="1" applyBorder="1" applyAlignment="1">
      <alignment vertical="center" wrapText="1" readingOrder="1"/>
    </xf>
    <xf numFmtId="0" fontId="5" fillId="0" borderId="1" xfId="0" applyFont="1" applyBorder="1" applyAlignment="1">
      <alignment horizontal="left" vertical="top" wrapText="1"/>
    </xf>
    <xf numFmtId="17" fontId="5" fillId="0" borderId="6" xfId="0" quotePrefix="1" applyNumberFormat="1" applyFont="1" applyBorder="1" applyAlignment="1">
      <alignment vertical="top"/>
    </xf>
    <xf numFmtId="0" fontId="5" fillId="0" borderId="6" xfId="0" applyFont="1" applyBorder="1" applyAlignment="1">
      <alignment vertical="top" wrapText="1"/>
    </xf>
    <xf numFmtId="0" fontId="5" fillId="0" borderId="6" xfId="0" quotePrefix="1" applyFont="1" applyBorder="1" applyAlignment="1">
      <alignment vertical="top"/>
    </xf>
    <xf numFmtId="0" fontId="6" fillId="0" borderId="1" xfId="0" applyFont="1" applyBorder="1" applyAlignment="1">
      <alignment vertical="top" wrapText="1"/>
    </xf>
    <xf numFmtId="0" fontId="6" fillId="0" borderId="7" xfId="0" applyFont="1" applyBorder="1" applyAlignment="1">
      <alignment vertical="top" wrapText="1"/>
    </xf>
    <xf numFmtId="14" fontId="10" fillId="0" borderId="6" xfId="0" quotePrefix="1" applyNumberFormat="1" applyFont="1" applyBorder="1" applyAlignment="1">
      <alignment horizontal="left" vertical="top"/>
    </xf>
    <xf numFmtId="0" fontId="10" fillId="0" borderId="7" xfId="0" quotePrefix="1" applyFont="1" applyBorder="1" applyAlignment="1" applyProtection="1">
      <alignment horizontal="left" vertical="top" wrapText="1"/>
      <protection locked="0"/>
    </xf>
    <xf numFmtId="166" fontId="10" fillId="0" borderId="9" xfId="0" applyNumberFormat="1" applyFont="1" applyBorder="1" applyAlignment="1">
      <alignment vertical="top"/>
    </xf>
    <xf numFmtId="0" fontId="6" fillId="0" borderId="1" xfId="0" applyFont="1" applyBorder="1" applyAlignment="1">
      <alignment horizontal="left" vertical="top"/>
    </xf>
    <xf numFmtId="0" fontId="6" fillId="0" borderId="1" xfId="0" applyFont="1" applyBorder="1" applyAlignment="1">
      <alignment horizontal="left" vertical="top" wrapText="1"/>
    </xf>
    <xf numFmtId="165" fontId="10" fillId="0" borderId="6" xfId="0" applyNumberFormat="1" applyFont="1" applyBorder="1" applyAlignment="1">
      <alignment horizontal="left" vertical="top" wrapText="1"/>
    </xf>
    <xf numFmtId="17" fontId="10" fillId="0" borderId="6" xfId="0" quotePrefix="1" applyNumberFormat="1" applyFont="1" applyBorder="1" applyAlignment="1">
      <alignment horizontal="left" vertical="top"/>
    </xf>
    <xf numFmtId="0" fontId="15" fillId="4" borderId="10" xfId="0" applyFont="1" applyFill="1" applyBorder="1" applyAlignment="1">
      <alignment wrapText="1" readingOrder="1"/>
    </xf>
    <xf numFmtId="0" fontId="15" fillId="4" borderId="11" xfId="0" applyFont="1" applyFill="1" applyBorder="1" applyAlignment="1">
      <alignment wrapText="1" readingOrder="1"/>
    </xf>
    <xf numFmtId="0" fontId="15" fillId="4" borderId="13" xfId="0" applyFont="1" applyFill="1" applyBorder="1" applyAlignment="1">
      <alignment wrapText="1" readingOrder="1"/>
    </xf>
    <xf numFmtId="0" fontId="3" fillId="0" borderId="0" xfId="0" applyFont="1" applyAlignment="1">
      <alignment horizontal="left" vertical="top" wrapText="1"/>
    </xf>
    <xf numFmtId="0" fontId="15" fillId="4" borderId="12" xfId="0" applyFont="1" applyFill="1" applyBorder="1" applyAlignment="1">
      <alignment wrapText="1" readingOrder="1"/>
    </xf>
    <xf numFmtId="0" fontId="5" fillId="0" borderId="1" xfId="0" applyFont="1" applyBorder="1" applyAlignment="1" applyProtection="1">
      <alignment horizontal="left" vertical="top"/>
      <protection locked="0"/>
    </xf>
    <xf numFmtId="0" fontId="5" fillId="0" borderId="1" xfId="0" applyFont="1" applyBorder="1" applyAlignment="1">
      <alignment horizontal="left" vertical="top"/>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EBD25-DE04-4F53-B3CC-340347E5C23C}">
  <dimension ref="A1:B35"/>
  <sheetViews>
    <sheetView topLeftCell="A17" workbookViewId="0">
      <selection activeCell="B35" sqref="B35"/>
    </sheetView>
  </sheetViews>
  <sheetFormatPr defaultRowHeight="14.45"/>
  <cols>
    <col min="1" max="1" width="5.5703125" customWidth="1"/>
    <col min="2" max="2" width="88.28515625" customWidth="1"/>
  </cols>
  <sheetData>
    <row r="1" spans="1:2" s="40" customFormat="1" ht="15.95">
      <c r="A1" s="41" t="s">
        <v>0</v>
      </c>
    </row>
    <row r="2" spans="1:2" s="40" customFormat="1" ht="15.95">
      <c r="A2" s="40" t="s">
        <v>1</v>
      </c>
    </row>
    <row r="3" spans="1:2" s="40" customFormat="1" ht="15.95">
      <c r="A3" s="40" t="s">
        <v>2</v>
      </c>
    </row>
    <row r="4" spans="1:2" s="40" customFormat="1" ht="15.95"/>
    <row r="5" spans="1:2" s="40" customFormat="1" ht="15.95">
      <c r="A5" s="41" t="s">
        <v>3</v>
      </c>
    </row>
    <row r="6" spans="1:2" s="40" customFormat="1" ht="15.95">
      <c r="A6" s="40" t="s">
        <v>4</v>
      </c>
    </row>
    <row r="7" spans="1:2" ht="15.95">
      <c r="A7" s="40" t="s">
        <v>5</v>
      </c>
    </row>
    <row r="8" spans="1:2" s="40" customFormat="1" ht="15.95">
      <c r="A8" s="40" t="s">
        <v>6</v>
      </c>
    </row>
    <row r="10" spans="1:2">
      <c r="A10" s="59" t="s">
        <v>7</v>
      </c>
      <c r="B10" s="60"/>
    </row>
    <row r="11" spans="1:2" ht="28.5" customHeight="1">
      <c r="A11" s="42" t="s">
        <v>8</v>
      </c>
      <c r="B11" s="43" t="s">
        <v>9</v>
      </c>
    </row>
    <row r="12" spans="1:2" ht="39" customHeight="1">
      <c r="A12" s="42" t="s">
        <v>10</v>
      </c>
      <c r="B12" s="43" t="s">
        <v>11</v>
      </c>
    </row>
    <row r="13" spans="1:2" ht="26.25" customHeight="1">
      <c r="A13" s="42" t="s">
        <v>12</v>
      </c>
      <c r="B13" s="43" t="s">
        <v>13</v>
      </c>
    </row>
    <row r="14" spans="1:2">
      <c r="A14" s="63" t="s">
        <v>14</v>
      </c>
      <c r="B14" s="61"/>
    </row>
    <row r="15" spans="1:2" ht="29.1">
      <c r="A15" s="42" t="s">
        <v>8</v>
      </c>
      <c r="B15" s="43" t="s">
        <v>15</v>
      </c>
    </row>
    <row r="16" spans="1:2" ht="29.1">
      <c r="A16" s="42" t="s">
        <v>10</v>
      </c>
      <c r="B16" s="43" t="s">
        <v>16</v>
      </c>
    </row>
    <row r="17" spans="1:2" ht="43.5">
      <c r="A17" s="42" t="s">
        <v>12</v>
      </c>
      <c r="B17" s="43" t="s">
        <v>17</v>
      </c>
    </row>
    <row r="18" spans="1:2" ht="37.5" customHeight="1">
      <c r="A18" s="42" t="s">
        <v>18</v>
      </c>
      <c r="B18" s="43" t="s">
        <v>19</v>
      </c>
    </row>
    <row r="19" spans="1:2" ht="44.45" customHeight="1">
      <c r="A19" s="44" t="s">
        <v>20</v>
      </c>
      <c r="B19" s="45" t="s">
        <v>21</v>
      </c>
    </row>
    <row r="21" spans="1:2" s="40" customFormat="1" ht="15.95">
      <c r="A21" s="41" t="s">
        <v>22</v>
      </c>
    </row>
    <row r="22" spans="1:2" ht="15.95">
      <c r="A22" s="40" t="s">
        <v>23</v>
      </c>
    </row>
    <row r="23" spans="1:2" ht="15.95">
      <c r="A23" s="40" t="s">
        <v>24</v>
      </c>
    </row>
    <row r="25" spans="1:2" s="40" customFormat="1" ht="15.95">
      <c r="A25" s="41" t="s">
        <v>25</v>
      </c>
    </row>
    <row r="26" spans="1:2" s="40" customFormat="1" ht="15.95">
      <c r="A26" s="40" t="s">
        <v>26</v>
      </c>
    </row>
    <row r="27" spans="1:2" ht="15.95">
      <c r="A27" s="40" t="s">
        <v>27</v>
      </c>
    </row>
    <row r="28" spans="1:2" ht="15.95">
      <c r="A28" s="40"/>
    </row>
    <row r="29" spans="1:2" ht="15.95">
      <c r="A29" s="41" t="s">
        <v>28</v>
      </c>
      <c r="B29" s="40"/>
    </row>
    <row r="30" spans="1:2" ht="15.95">
      <c r="A30" s="40" t="s">
        <v>29</v>
      </c>
      <c r="B30" s="40"/>
    </row>
    <row r="32" spans="1:2" ht="15.95">
      <c r="A32" s="41" t="s">
        <v>30</v>
      </c>
      <c r="B32" s="40"/>
    </row>
    <row r="33" spans="1:1" ht="15.95">
      <c r="A33" s="40" t="s">
        <v>31</v>
      </c>
    </row>
    <row r="35" spans="1:1">
      <c r="A35" t="s">
        <v>32</v>
      </c>
    </row>
  </sheetData>
  <mergeCells count="2">
    <mergeCell ref="A10:B10"/>
    <mergeCell ref="A14:B1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0488A-0881-46DF-A79B-983F0F5E10DF}">
  <dimension ref="A1:B15"/>
  <sheetViews>
    <sheetView topLeftCell="A8" zoomScaleNormal="100" workbookViewId="0">
      <selection activeCell="E9" sqref="E9"/>
    </sheetView>
  </sheetViews>
  <sheetFormatPr defaultColWidth="9.140625" defaultRowHeight="37.35" customHeight="1"/>
  <cols>
    <col min="1" max="1" width="39.42578125" style="10" customWidth="1"/>
    <col min="2" max="2" width="41.85546875" style="10" customWidth="1"/>
    <col min="3" max="16384" width="9.140625" style="11"/>
  </cols>
  <sheetData>
    <row r="1" spans="1:2" ht="24.6" customHeight="1">
      <c r="A1" s="46" t="s">
        <v>33</v>
      </c>
      <c r="B1" s="64" t="s">
        <v>34</v>
      </c>
    </row>
    <row r="2" spans="1:2" ht="29.45" customHeight="1">
      <c r="A2" s="46" t="s">
        <v>35</v>
      </c>
      <c r="B2" s="64" t="s">
        <v>36</v>
      </c>
    </row>
    <row r="3" spans="1:2" ht="29.45" customHeight="1">
      <c r="A3" s="46" t="s">
        <v>37</v>
      </c>
      <c r="B3" s="64" t="s">
        <v>38</v>
      </c>
    </row>
    <row r="4" spans="1:2" ht="29.45" customHeight="1">
      <c r="A4" s="46" t="s">
        <v>39</v>
      </c>
      <c r="B4" s="64" t="s">
        <v>40</v>
      </c>
    </row>
    <row r="5" spans="1:2" ht="29.45" customHeight="1">
      <c r="A5" s="46" t="s">
        <v>41</v>
      </c>
      <c r="B5" s="64"/>
    </row>
    <row r="6" spans="1:2" ht="29.45" customHeight="1">
      <c r="A6" s="46" t="s">
        <v>42</v>
      </c>
      <c r="B6" s="64" t="s">
        <v>43</v>
      </c>
    </row>
    <row r="7" spans="1:2" ht="29.45" customHeight="1">
      <c r="A7" s="46" t="s">
        <v>44</v>
      </c>
      <c r="B7" s="64" t="s">
        <v>45</v>
      </c>
    </row>
    <row r="8" spans="1:2" ht="29.45" customHeight="1">
      <c r="A8" s="46" t="s">
        <v>46</v>
      </c>
      <c r="B8" s="64" t="s">
        <v>47</v>
      </c>
    </row>
    <row r="9" spans="1:2" ht="29.45" customHeight="1">
      <c r="A9" s="46" t="s">
        <v>48</v>
      </c>
      <c r="B9" s="64" t="s">
        <v>49</v>
      </c>
    </row>
    <row r="10" spans="1:2" ht="29.45" customHeight="1">
      <c r="A10" s="46" t="s">
        <v>50</v>
      </c>
      <c r="B10" s="64" t="s">
        <v>51</v>
      </c>
    </row>
    <row r="11" spans="1:2" ht="46.35" customHeight="1">
      <c r="A11" s="46" t="s">
        <v>52</v>
      </c>
      <c r="B11" s="64" t="s">
        <v>43</v>
      </c>
    </row>
    <row r="12" spans="1:2" ht="29.45" customHeight="1">
      <c r="A12" s="46" t="s">
        <v>53</v>
      </c>
      <c r="B12" s="64" t="s">
        <v>54</v>
      </c>
    </row>
    <row r="13" spans="1:2" ht="41.45" customHeight="1">
      <c r="A13" s="46" t="s">
        <v>55</v>
      </c>
      <c r="B13" s="64" t="s">
        <v>56</v>
      </c>
    </row>
    <row r="14" spans="1:2" ht="29.45" customHeight="1">
      <c r="A14" s="46" t="s">
        <v>57</v>
      </c>
      <c r="B14" s="64">
        <v>25</v>
      </c>
    </row>
    <row r="15" spans="1:2" ht="29.45" customHeight="1">
      <c r="A15" s="65" t="s">
        <v>58</v>
      </c>
      <c r="B15" s="64" t="s">
        <v>59</v>
      </c>
    </row>
  </sheetData>
  <pageMargins left="0.25" right="0.25" top="0.75" bottom="0.75" header="0.3" footer="0.3"/>
  <pageSetup orientation="landscape" r:id="rId1"/>
  <headerFooter>
    <oddHeader>&amp;C&amp;G</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0F900-CA8E-4704-8C53-4BD6036D9EFE}">
  <dimension ref="A1:P9"/>
  <sheetViews>
    <sheetView tabSelected="1" zoomScale="90" zoomScaleNormal="90" workbookViewId="0">
      <pane xSplit="1" ySplit="2" topLeftCell="B6" activePane="bottomRight" state="frozen"/>
      <selection pane="bottomRight" activeCell="I9" sqref="I9"/>
      <selection pane="bottomLeft" activeCell="A3" sqref="A3"/>
      <selection pane="topRight" activeCell="B1" sqref="B1"/>
    </sheetView>
  </sheetViews>
  <sheetFormatPr defaultColWidth="9.140625" defaultRowHeight="15" customHeight="1"/>
  <cols>
    <col min="1" max="1" width="35.42578125" style="18" customWidth="1"/>
    <col min="2" max="2" width="17.42578125" style="18" customWidth="1"/>
    <col min="3" max="3" width="15.85546875" style="18" customWidth="1"/>
    <col min="4" max="4" width="59.140625" style="18" customWidth="1"/>
    <col min="5" max="5" width="29" style="18" customWidth="1"/>
    <col min="6" max="6" width="25.42578125" style="18" customWidth="1"/>
    <col min="7" max="7" width="17.5703125" style="18" customWidth="1"/>
    <col min="8" max="8" width="20" style="18" customWidth="1"/>
    <col min="9" max="9" width="17.5703125" style="18" customWidth="1"/>
    <col min="10" max="10" width="22" style="18" customWidth="1"/>
    <col min="11" max="11" width="21.42578125" style="18" customWidth="1"/>
    <col min="12" max="12" width="17.140625" style="18" customWidth="1"/>
    <col min="13" max="13" width="17.5703125" style="18" customWidth="1"/>
    <col min="14" max="14" width="15" style="18" customWidth="1"/>
    <col min="15" max="15" width="18.140625" style="18" customWidth="1"/>
    <col min="16" max="16" width="57.42578125" style="18" customWidth="1"/>
    <col min="17" max="16384" width="9.140625" style="18"/>
  </cols>
  <sheetData>
    <row r="1" spans="1:16" s="19" customFormat="1" ht="116.1" customHeight="1">
      <c r="A1" s="21" t="s">
        <v>60</v>
      </c>
      <c r="B1" s="21" t="s">
        <v>61</v>
      </c>
      <c r="C1" s="21" t="s">
        <v>62</v>
      </c>
      <c r="D1" s="22" t="s">
        <v>63</v>
      </c>
      <c r="E1" s="22" t="s">
        <v>64</v>
      </c>
      <c r="F1" s="22" t="s">
        <v>65</v>
      </c>
      <c r="G1" s="23" t="s">
        <v>66</v>
      </c>
      <c r="H1" s="24" t="s">
        <v>67</v>
      </c>
      <c r="I1" s="23" t="s">
        <v>68</v>
      </c>
      <c r="J1" s="24" t="s">
        <v>69</v>
      </c>
      <c r="K1" s="24" t="s">
        <v>70</v>
      </c>
      <c r="L1" s="24" t="s">
        <v>71</v>
      </c>
      <c r="M1" s="24" t="s">
        <v>72</v>
      </c>
      <c r="N1" s="25" t="s">
        <v>73</v>
      </c>
      <c r="O1" s="25" t="s">
        <v>74</v>
      </c>
      <c r="P1" s="26" t="s">
        <v>75</v>
      </c>
    </row>
    <row r="2" spans="1:16" ht="33" customHeight="1">
      <c r="A2" s="12" t="s">
        <v>76</v>
      </c>
      <c r="B2" s="12" t="s">
        <v>77</v>
      </c>
      <c r="C2" s="12" t="s">
        <v>78</v>
      </c>
      <c r="D2" s="12" t="s">
        <v>79</v>
      </c>
      <c r="E2" s="13" t="s">
        <v>80</v>
      </c>
      <c r="F2" s="13" t="s">
        <v>81</v>
      </c>
      <c r="G2" s="14" t="s">
        <v>82</v>
      </c>
      <c r="H2" s="12" t="s">
        <v>83</v>
      </c>
      <c r="I2" s="15" t="s">
        <v>84</v>
      </c>
      <c r="J2" s="12" t="s">
        <v>85</v>
      </c>
      <c r="K2" s="12" t="s">
        <v>86</v>
      </c>
      <c r="L2" s="12" t="s">
        <v>87</v>
      </c>
      <c r="M2" s="12" t="s">
        <v>88</v>
      </c>
      <c r="N2" s="16" t="s">
        <v>89</v>
      </c>
      <c r="O2" s="16" t="s">
        <v>90</v>
      </c>
      <c r="P2" s="17" t="s">
        <v>91</v>
      </c>
    </row>
    <row r="3" spans="1:16" s="36" customFormat="1" ht="231.95">
      <c r="A3" s="20" t="s">
        <v>92</v>
      </c>
      <c r="B3" s="28" t="s">
        <v>93</v>
      </c>
      <c r="C3" s="29" t="s">
        <v>94</v>
      </c>
      <c r="D3" s="53" t="s">
        <v>95</v>
      </c>
      <c r="E3" s="30" t="s">
        <v>96</v>
      </c>
      <c r="F3" s="30" t="s">
        <v>97</v>
      </c>
      <c r="G3" s="32">
        <v>7075000</v>
      </c>
      <c r="H3" s="34" t="s">
        <v>98</v>
      </c>
      <c r="I3" s="20" t="s">
        <v>99</v>
      </c>
      <c r="J3" s="20" t="s">
        <v>100</v>
      </c>
      <c r="K3" s="20" t="s">
        <v>101</v>
      </c>
      <c r="L3" s="20" t="s">
        <v>102</v>
      </c>
      <c r="M3" s="20" t="s">
        <v>103</v>
      </c>
      <c r="N3" s="20" t="s">
        <v>104</v>
      </c>
      <c r="O3" s="20" t="s">
        <v>105</v>
      </c>
      <c r="P3" s="20" t="s">
        <v>106</v>
      </c>
    </row>
    <row r="4" spans="1:16" s="36" customFormat="1" ht="217.5">
      <c r="A4" s="20" t="s">
        <v>107</v>
      </c>
      <c r="B4" s="28" t="s">
        <v>108</v>
      </c>
      <c r="C4" s="29" t="s">
        <v>109</v>
      </c>
      <c r="D4" s="30" t="s">
        <v>110</v>
      </c>
      <c r="E4" s="30" t="s">
        <v>111</v>
      </c>
      <c r="F4" s="30" t="s">
        <v>112</v>
      </c>
      <c r="G4" s="32">
        <f>88550+194828+151800</f>
        <v>435178</v>
      </c>
      <c r="H4" s="34" t="s">
        <v>113</v>
      </c>
      <c r="I4" s="53" t="s">
        <v>114</v>
      </c>
      <c r="J4" s="30" t="s">
        <v>115</v>
      </c>
      <c r="K4" s="35" t="s">
        <v>116</v>
      </c>
      <c r="L4" s="52" t="s">
        <v>117</v>
      </c>
      <c r="M4" s="31" t="s">
        <v>118</v>
      </c>
      <c r="N4" s="30" t="s">
        <v>119</v>
      </c>
      <c r="O4" s="30" t="s">
        <v>120</v>
      </c>
      <c r="P4" s="31" t="s">
        <v>121</v>
      </c>
    </row>
    <row r="5" spans="1:16" s="36" customFormat="1" ht="89.45" customHeight="1">
      <c r="A5" s="20" t="s">
        <v>122</v>
      </c>
      <c r="B5" s="28" t="s">
        <v>108</v>
      </c>
      <c r="C5" s="29" t="s">
        <v>109</v>
      </c>
      <c r="D5" s="30" t="s">
        <v>123</v>
      </c>
      <c r="E5" s="30" t="s">
        <v>124</v>
      </c>
      <c r="F5" s="30" t="s">
        <v>125</v>
      </c>
      <c r="G5" s="54">
        <v>0</v>
      </c>
      <c r="H5" s="34" t="s">
        <v>126</v>
      </c>
      <c r="I5" s="30" t="s">
        <v>127</v>
      </c>
      <c r="J5" s="31" t="s">
        <v>128</v>
      </c>
      <c r="K5" s="52" t="s">
        <v>129</v>
      </c>
      <c r="L5" s="52" t="s">
        <v>130</v>
      </c>
      <c r="M5" s="31" t="s">
        <v>103</v>
      </c>
      <c r="N5" s="27"/>
      <c r="O5" s="31" t="s">
        <v>131</v>
      </c>
      <c r="P5" s="31"/>
    </row>
    <row r="6" spans="1:16" s="36" customFormat="1" ht="159.6">
      <c r="A6" s="20" t="s">
        <v>132</v>
      </c>
      <c r="B6" s="28" t="s">
        <v>108</v>
      </c>
      <c r="C6" s="29" t="s">
        <v>90</v>
      </c>
      <c r="D6" s="30" t="s">
        <v>133</v>
      </c>
      <c r="E6" s="30" t="s">
        <v>134</v>
      </c>
      <c r="F6" s="30" t="s">
        <v>135</v>
      </c>
      <c r="G6" s="32"/>
      <c r="H6" s="34"/>
      <c r="I6" s="33"/>
      <c r="J6" s="30" t="s">
        <v>136</v>
      </c>
      <c r="K6" s="35" t="s">
        <v>116</v>
      </c>
      <c r="L6" s="35" t="s">
        <v>130</v>
      </c>
      <c r="M6" s="31" t="s">
        <v>137</v>
      </c>
      <c r="N6" s="30" t="s">
        <v>138</v>
      </c>
      <c r="O6" s="30" t="s">
        <v>139</v>
      </c>
      <c r="P6" s="31" t="s">
        <v>140</v>
      </c>
    </row>
    <row r="7" spans="1:16" s="36" customFormat="1" ht="197.25" customHeight="1">
      <c r="A7" s="20" t="s">
        <v>141</v>
      </c>
      <c r="B7" s="28" t="s">
        <v>93</v>
      </c>
      <c r="C7" s="29" t="s">
        <v>90</v>
      </c>
      <c r="D7" s="53" t="s">
        <v>142</v>
      </c>
      <c r="E7" s="53" t="s">
        <v>143</v>
      </c>
      <c r="F7" s="53" t="s">
        <v>144</v>
      </c>
      <c r="G7" s="54">
        <v>0</v>
      </c>
      <c r="H7" s="34"/>
      <c r="I7" s="57" t="s">
        <v>145</v>
      </c>
      <c r="J7" s="31" t="s">
        <v>146</v>
      </c>
      <c r="K7" s="52" t="s">
        <v>147</v>
      </c>
      <c r="L7" s="52" t="s">
        <v>130</v>
      </c>
      <c r="M7" s="31" t="s">
        <v>103</v>
      </c>
      <c r="N7" s="53" t="s">
        <v>148</v>
      </c>
      <c r="O7" s="53" t="s">
        <v>149</v>
      </c>
      <c r="P7" s="31"/>
    </row>
    <row r="8" spans="1:16" s="36" customFormat="1" ht="144.94999999999999">
      <c r="A8" s="20" t="s">
        <v>150</v>
      </c>
      <c r="B8" s="28" t="s">
        <v>93</v>
      </c>
      <c r="C8" s="29" t="s">
        <v>151</v>
      </c>
      <c r="D8" s="53" t="s">
        <v>152</v>
      </c>
      <c r="E8" s="53" t="s">
        <v>153</v>
      </c>
      <c r="F8" s="53" t="s">
        <v>154</v>
      </c>
      <c r="G8" s="54"/>
      <c r="H8" s="34"/>
      <c r="I8" s="57" t="s">
        <v>155</v>
      </c>
      <c r="J8" s="53" t="s">
        <v>156</v>
      </c>
      <c r="K8" s="58" t="s">
        <v>157</v>
      </c>
      <c r="L8" s="52" t="s">
        <v>130</v>
      </c>
      <c r="M8" s="31" t="s">
        <v>118</v>
      </c>
      <c r="N8" s="53" t="s">
        <v>158</v>
      </c>
      <c r="O8" s="53" t="s">
        <v>159</v>
      </c>
      <c r="P8" s="31"/>
    </row>
    <row r="9" spans="1:16" s="36" customFormat="1" ht="57.95">
      <c r="A9" s="20" t="s">
        <v>160</v>
      </c>
      <c r="B9" s="28" t="s">
        <v>93</v>
      </c>
      <c r="C9" s="29" t="s">
        <v>151</v>
      </c>
      <c r="D9" s="53" t="s">
        <v>161</v>
      </c>
      <c r="E9" s="53" t="s">
        <v>162</v>
      </c>
      <c r="F9" s="53" t="s">
        <v>163</v>
      </c>
      <c r="G9" s="54">
        <v>384741</v>
      </c>
      <c r="H9" s="34" t="s">
        <v>98</v>
      </c>
      <c r="I9" s="54">
        <v>2564940</v>
      </c>
      <c r="J9" s="53" t="s">
        <v>164</v>
      </c>
      <c r="K9" s="58" t="s">
        <v>165</v>
      </c>
      <c r="L9" s="53" t="s">
        <v>166</v>
      </c>
      <c r="M9" s="31" t="s">
        <v>118</v>
      </c>
      <c r="N9" s="53" t="s">
        <v>167</v>
      </c>
      <c r="O9" s="53" t="s">
        <v>159</v>
      </c>
      <c r="P9" s="20" t="s">
        <v>168</v>
      </c>
    </row>
  </sheetData>
  <dataValidations count="4">
    <dataValidation type="list" allowBlank="1" showInputMessage="1" showErrorMessage="1" sqref="B3:B9" xr:uid="{5DAB7581-BECC-4AAE-B4EB-0F0CE0624B9D}">
      <formula1>"Statewide,Hospital,Regional"</formula1>
    </dataValidation>
    <dataValidation allowBlank="1" showInputMessage="1" showErrorMessage="1" sqref="A1:C1 A2:B2 A3:A7 D1:D7 E1:P2 N3:O7" xr:uid="{6FF9FDFE-57E4-4B40-95BF-0313A0EA7D2C}"/>
    <dataValidation type="list" allowBlank="1" showInputMessage="1" showErrorMessage="1" sqref="C3:C9" xr:uid="{BE7F5688-39D1-44B4-BDC7-642A24E40DC7}">
      <formula1>"Clinical Service Redesign,Transfers and Transport,Shared Purchasing,Information Technology,Workforce,Other"</formula1>
    </dataValidation>
    <dataValidation type="list" allowBlank="1" showInputMessage="1" showErrorMessage="1" sqref="H3:H7 H9" xr:uid="{FCCD4BAD-48FB-4417-AFFB-DE15D84CD807}">
      <formula1>"Business Case,Invoice costs,Staff costs,Vendor quote,Other"</formula1>
    </dataValidation>
  </dataValidations>
  <pageMargins left="0.7" right="0.7" top="0.75" bottom="0.75" header="0.3" footer="0.3"/>
  <pageSetup orientation="portrait" r:id="rId1"/>
  <headerFooter>
    <oddHeader>&amp;C&amp;G</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4A788-E180-4A5D-AE50-48DD6F0620E2}">
  <dimension ref="A1:Q7"/>
  <sheetViews>
    <sheetView zoomScale="70" zoomScaleNormal="70" workbookViewId="0">
      <selection activeCell="A4" sqref="A4"/>
    </sheetView>
  </sheetViews>
  <sheetFormatPr defaultColWidth="8.85546875" defaultRowHeight="18.75" customHeight="1"/>
  <cols>
    <col min="1" max="1" width="13.7109375" style="3" customWidth="1"/>
    <col min="2" max="2" width="19.85546875" style="3" customWidth="1"/>
    <col min="3" max="3" width="19" style="3" customWidth="1"/>
    <col min="4" max="4" width="55.42578125" style="3" customWidth="1"/>
    <col min="5" max="5" width="39.85546875" style="3" customWidth="1"/>
    <col min="6" max="6" width="40.42578125" style="3" customWidth="1"/>
    <col min="7" max="7" width="25.85546875" style="3" customWidth="1"/>
    <col min="8" max="8" width="20.85546875" style="3" customWidth="1"/>
    <col min="9" max="9" width="42.85546875" style="3" customWidth="1"/>
    <col min="10" max="10" width="8.5703125" style="3" customWidth="1"/>
    <col min="11" max="16384" width="8.85546875" style="3"/>
  </cols>
  <sheetData>
    <row r="1" spans="1:17" s="2" customFormat="1" ht="55.35" customHeight="1">
      <c r="A1" s="5" t="s">
        <v>169</v>
      </c>
      <c r="B1" s="1" t="s">
        <v>170</v>
      </c>
      <c r="C1" s="1" t="s">
        <v>171</v>
      </c>
      <c r="D1" s="1" t="s">
        <v>172</v>
      </c>
      <c r="E1" s="1" t="s">
        <v>173</v>
      </c>
      <c r="F1" s="6" t="s">
        <v>174</v>
      </c>
      <c r="G1" s="1" t="s">
        <v>175</v>
      </c>
      <c r="H1" s="1" t="s">
        <v>176</v>
      </c>
      <c r="I1" s="7" t="s">
        <v>177</v>
      </c>
    </row>
    <row r="2" spans="1:17" s="9" customFormat="1" ht="63.95">
      <c r="A2" s="55" t="s">
        <v>178</v>
      </c>
      <c r="B2" s="39" t="s">
        <v>179</v>
      </c>
      <c r="C2" s="39" t="s">
        <v>179</v>
      </c>
      <c r="D2" s="50" t="s">
        <v>180</v>
      </c>
      <c r="E2" s="51" t="s">
        <v>181</v>
      </c>
      <c r="F2" s="51" t="s">
        <v>182</v>
      </c>
      <c r="G2" s="39" t="s">
        <v>183</v>
      </c>
      <c r="H2" s="39" t="s">
        <v>184</v>
      </c>
      <c r="I2" s="37" t="s">
        <v>185</v>
      </c>
      <c r="J2" s="2"/>
      <c r="K2" s="2"/>
      <c r="L2" s="2"/>
      <c r="M2" s="2"/>
      <c r="N2" s="2"/>
      <c r="O2" s="2"/>
      <c r="P2" s="2"/>
      <c r="Q2" s="2"/>
    </row>
    <row r="3" spans="1:17" s="9" customFormat="1" ht="80.099999999999994">
      <c r="A3" s="55" t="s">
        <v>186</v>
      </c>
      <c r="B3" s="39" t="s">
        <v>187</v>
      </c>
      <c r="C3" s="39" t="s">
        <v>187</v>
      </c>
      <c r="D3" s="50" t="s">
        <v>188</v>
      </c>
      <c r="E3" s="50" t="s">
        <v>189</v>
      </c>
      <c r="F3" s="50" t="s">
        <v>190</v>
      </c>
      <c r="G3" s="39" t="s">
        <v>191</v>
      </c>
      <c r="H3" s="39" t="s">
        <v>184</v>
      </c>
      <c r="I3" s="37" t="s">
        <v>185</v>
      </c>
      <c r="J3" s="2"/>
      <c r="K3" s="2"/>
      <c r="L3" s="2"/>
      <c r="M3" s="2"/>
      <c r="N3" s="2"/>
      <c r="O3" s="2"/>
      <c r="P3" s="2"/>
      <c r="Q3" s="2"/>
    </row>
    <row r="4" spans="1:17" s="9" customFormat="1" ht="48">
      <c r="A4" s="56" t="s">
        <v>192</v>
      </c>
      <c r="B4" s="39" t="s">
        <v>179</v>
      </c>
      <c r="C4" s="39" t="s">
        <v>193</v>
      </c>
      <c r="D4" s="39" t="s">
        <v>194</v>
      </c>
      <c r="E4" s="50" t="s">
        <v>195</v>
      </c>
      <c r="F4" s="50" t="s">
        <v>196</v>
      </c>
      <c r="G4" s="39" t="s">
        <v>183</v>
      </c>
      <c r="H4" s="39" t="s">
        <v>197</v>
      </c>
      <c r="I4" s="37" t="s">
        <v>185</v>
      </c>
    </row>
    <row r="5" spans="1:17" s="9" customFormat="1" ht="47.45" customHeight="1">
      <c r="A5" s="56" t="s">
        <v>198</v>
      </c>
      <c r="B5" s="39" t="s">
        <v>179</v>
      </c>
      <c r="C5" s="39" t="s">
        <v>187</v>
      </c>
      <c r="D5" s="39" t="s">
        <v>199</v>
      </c>
      <c r="E5" s="50" t="s">
        <v>200</v>
      </c>
      <c r="F5" s="50"/>
      <c r="G5" s="39" t="s">
        <v>191</v>
      </c>
      <c r="H5" s="39" t="s">
        <v>197</v>
      </c>
      <c r="I5" s="37" t="s">
        <v>185</v>
      </c>
    </row>
    <row r="6" spans="1:17" s="9" customFormat="1" ht="80.099999999999994">
      <c r="A6" s="56" t="s">
        <v>201</v>
      </c>
      <c r="B6" s="39" t="s">
        <v>179</v>
      </c>
      <c r="C6" s="39" t="s">
        <v>187</v>
      </c>
      <c r="D6" s="50" t="s">
        <v>202</v>
      </c>
      <c r="E6" s="50" t="s">
        <v>203</v>
      </c>
      <c r="F6" s="50" t="s">
        <v>204</v>
      </c>
      <c r="G6" s="39" t="s">
        <v>191</v>
      </c>
      <c r="H6" s="39" t="s">
        <v>184</v>
      </c>
      <c r="I6" s="37" t="s">
        <v>185</v>
      </c>
    </row>
    <row r="7" spans="1:17" s="4" customFormat="1" ht="104.25" customHeight="1">
      <c r="A7" s="62" t="s">
        <v>205</v>
      </c>
      <c r="B7" s="62"/>
      <c r="C7" s="62"/>
      <c r="D7" s="62"/>
      <c r="E7" s="62"/>
      <c r="F7" s="62"/>
    </row>
  </sheetData>
  <mergeCells count="1">
    <mergeCell ref="A7:F7"/>
  </mergeCells>
  <dataValidations count="4">
    <dataValidation type="list" allowBlank="1" showInputMessage="1" showErrorMessage="1" sqref="G2:G6" xr:uid="{A0615E9F-3DCD-4FAA-9DAE-D98946827056}">
      <formula1>"Low,Medium,High"</formula1>
    </dataValidation>
    <dataValidation type="list" allowBlank="1" showInputMessage="1" showErrorMessage="1" sqref="I2:I6" xr:uid="{FC6CB2DC-4B6E-46D2-97BA-D76BBF2B9896}">
      <formula1>"Open,Monitoring,Mitigated,Closed"</formula1>
    </dataValidation>
    <dataValidation type="list" allowBlank="1" showInputMessage="1" showErrorMessage="1" sqref="B2:C6" xr:uid="{E455AD5F-B350-44C8-8941-C213287E425D}">
      <formula1>"Work Force, Acess to Care, Quality of Care, Financial Stability, Risk to area residents,Legal,Regulatory,Other"</formula1>
    </dataValidation>
    <dataValidation type="list" allowBlank="1" showInputMessage="1" showErrorMessage="1" sqref="H2:H6" xr:uid="{4C55E350-D739-41DB-B816-5FC5FA7244E6}">
      <formula1>"Moderate,Significant,Critical"</formula1>
    </dataValidation>
  </dataValidations>
  <pageMargins left="0.7" right="0.7" top="0.75" bottom="0.75" header="0.3" footer="0.3"/>
  <pageSetup orientation="landscape" r:id="rId1"/>
  <headerFooter>
    <oddHeader>&amp;C&amp;G</oddHead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3126B-F146-4D4D-8A4F-C47740B41252}">
  <dimension ref="A1:J24"/>
  <sheetViews>
    <sheetView workbookViewId="0">
      <selection activeCell="E10" sqref="E10"/>
    </sheetView>
  </sheetViews>
  <sheetFormatPr defaultColWidth="8.85546875" defaultRowHeight="29.25" customHeight="1"/>
  <cols>
    <col min="1" max="1" width="15.42578125" style="38" customWidth="1"/>
    <col min="2" max="2" width="31.5703125" style="38" customWidth="1"/>
    <col min="3" max="3" width="29.85546875" style="38" customWidth="1"/>
    <col min="4" max="5" width="36.5703125" style="38" customWidth="1"/>
    <col min="6" max="6" width="34.42578125" style="38" customWidth="1"/>
    <col min="7" max="7" width="27.5703125" style="38" customWidth="1"/>
    <col min="8" max="8" width="32.42578125" style="38" customWidth="1"/>
    <col min="9" max="16384" width="8.85546875" style="38"/>
  </cols>
  <sheetData>
    <row r="1" spans="1:10" s="9" customFormat="1" ht="34.5" customHeight="1">
      <c r="A1" s="8" t="s">
        <v>206</v>
      </c>
      <c r="B1" s="7" t="s">
        <v>207</v>
      </c>
      <c r="C1" s="8" t="s">
        <v>208</v>
      </c>
      <c r="D1" s="8" t="s">
        <v>209</v>
      </c>
      <c r="E1" s="7" t="s">
        <v>210</v>
      </c>
      <c r="F1" s="7" t="s">
        <v>211</v>
      </c>
      <c r="G1" s="7" t="s">
        <v>212</v>
      </c>
      <c r="H1" s="8" t="s">
        <v>213</v>
      </c>
    </row>
    <row r="2" spans="1:10" s="9" customFormat="1" ht="32.1">
      <c r="A2" s="37" t="s">
        <v>214</v>
      </c>
      <c r="B2" s="47" t="s">
        <v>215</v>
      </c>
      <c r="C2" s="37" t="s">
        <v>216</v>
      </c>
      <c r="D2" s="48" t="s">
        <v>217</v>
      </c>
      <c r="E2" s="37" t="s">
        <v>218</v>
      </c>
      <c r="F2" s="37" t="s">
        <v>219</v>
      </c>
      <c r="G2" s="37" t="s">
        <v>220</v>
      </c>
      <c r="H2" s="48" t="s">
        <v>221</v>
      </c>
    </row>
    <row r="3" spans="1:10" s="9" customFormat="1" ht="96">
      <c r="A3" s="48" t="s">
        <v>222</v>
      </c>
      <c r="B3" s="49" t="s">
        <v>223</v>
      </c>
      <c r="C3" s="37" t="s">
        <v>216</v>
      </c>
      <c r="D3" s="48" t="s">
        <v>224</v>
      </c>
      <c r="E3" s="37" t="s">
        <v>225</v>
      </c>
      <c r="F3" s="37" t="s">
        <v>219</v>
      </c>
      <c r="G3" s="37" t="s">
        <v>226</v>
      </c>
      <c r="H3" s="48" t="s">
        <v>227</v>
      </c>
    </row>
    <row r="4" spans="1:10" s="9" customFormat="1" ht="48">
      <c r="A4" s="48" t="s">
        <v>228</v>
      </c>
      <c r="B4" s="49" t="s">
        <v>229</v>
      </c>
      <c r="C4" s="37" t="s">
        <v>230</v>
      </c>
      <c r="D4" s="48" t="s">
        <v>231</v>
      </c>
      <c r="E4" s="48" t="s">
        <v>232</v>
      </c>
      <c r="F4" s="37" t="s">
        <v>219</v>
      </c>
      <c r="G4" s="37" t="s">
        <v>226</v>
      </c>
      <c r="H4" s="48" t="s">
        <v>233</v>
      </c>
    </row>
    <row r="5" spans="1:10" s="9" customFormat="1" ht="48">
      <c r="A5" s="48" t="s">
        <v>234</v>
      </c>
      <c r="B5" s="49" t="s">
        <v>235</v>
      </c>
      <c r="C5" s="37" t="s">
        <v>216</v>
      </c>
      <c r="D5" s="48" t="s">
        <v>236</v>
      </c>
      <c r="E5" s="37" t="s">
        <v>225</v>
      </c>
      <c r="F5" s="37" t="s">
        <v>219</v>
      </c>
      <c r="G5" s="37" t="s">
        <v>226</v>
      </c>
      <c r="H5" s="48" t="s">
        <v>233</v>
      </c>
    </row>
    <row r="6" spans="1:10" s="9" customFormat="1" ht="48">
      <c r="A6" s="48" t="s">
        <v>237</v>
      </c>
      <c r="B6" s="49" t="s">
        <v>238</v>
      </c>
      <c r="C6" s="37" t="s">
        <v>239</v>
      </c>
      <c r="D6" s="48" t="s">
        <v>240</v>
      </c>
      <c r="E6" s="48" t="s">
        <v>241</v>
      </c>
      <c r="F6" s="37" t="s">
        <v>242</v>
      </c>
      <c r="G6" s="37" t="s">
        <v>226</v>
      </c>
      <c r="H6" s="48" t="s">
        <v>243</v>
      </c>
    </row>
    <row r="7" spans="1:10" s="9" customFormat="1" ht="32.1">
      <c r="A7" s="48" t="s">
        <v>244</v>
      </c>
      <c r="B7" s="37" t="s">
        <v>130</v>
      </c>
      <c r="C7" s="48" t="s">
        <v>245</v>
      </c>
      <c r="D7" s="48" t="s">
        <v>246</v>
      </c>
      <c r="E7" s="48" t="s">
        <v>241</v>
      </c>
      <c r="F7" s="37" t="s">
        <v>242</v>
      </c>
      <c r="G7" s="37" t="s">
        <v>130</v>
      </c>
      <c r="H7" s="37"/>
    </row>
    <row r="8" spans="1:10" s="9" customFormat="1" ht="32.1">
      <c r="A8" s="49" t="s">
        <v>247</v>
      </c>
      <c r="B8" s="37" t="s">
        <v>130</v>
      </c>
      <c r="C8" s="48" t="s">
        <v>248</v>
      </c>
      <c r="D8" s="48" t="s">
        <v>249</v>
      </c>
      <c r="E8" s="48" t="s">
        <v>241</v>
      </c>
      <c r="F8" s="37" t="s">
        <v>242</v>
      </c>
      <c r="G8" s="37" t="s">
        <v>130</v>
      </c>
      <c r="H8" s="37"/>
    </row>
    <row r="9" spans="1:10" s="9" customFormat="1" ht="48">
      <c r="A9" s="48" t="s">
        <v>250</v>
      </c>
      <c r="B9" s="37" t="s">
        <v>130</v>
      </c>
      <c r="C9" s="48" t="s">
        <v>251</v>
      </c>
      <c r="D9" s="48" t="s">
        <v>249</v>
      </c>
      <c r="E9" s="37" t="s">
        <v>252</v>
      </c>
      <c r="F9" s="37" t="s">
        <v>242</v>
      </c>
      <c r="G9" s="37" t="s">
        <v>130</v>
      </c>
      <c r="H9" s="37"/>
    </row>
    <row r="13" spans="1:10" ht="29.25" customHeight="1">
      <c r="A13" s="62" t="s">
        <v>253</v>
      </c>
      <c r="B13" s="62"/>
      <c r="C13" s="62"/>
      <c r="D13" s="62"/>
      <c r="E13" s="62"/>
      <c r="F13" s="62"/>
      <c r="G13" s="62"/>
      <c r="H13" s="62"/>
      <c r="I13" s="62"/>
      <c r="J13" s="62"/>
    </row>
    <row r="24" spans="1:2" ht="29.25" customHeight="1">
      <c r="A24" s="3"/>
      <c r="B24" s="3"/>
    </row>
  </sheetData>
  <mergeCells count="2">
    <mergeCell ref="A13:E13"/>
    <mergeCell ref="F13:J13"/>
  </mergeCells>
  <dataValidations count="3">
    <dataValidation type="list" allowBlank="1" showInputMessage="1" showErrorMessage="1" sqref="E2" xr:uid="{EC3D0B25-FAA9-4C4D-AFD5-A1BC2B2441A6}">
      <formula1>"Email,Meeting,Webinar,Workshop,Other"</formula1>
    </dataValidation>
    <dataValidation type="list" allowBlank="1" showInputMessage="1" showErrorMessage="1" sqref="F2" xr:uid="{69C4DFE4-08BC-4851-9AEC-C09F2E7BC81D}">
      <formula1>"Daily,Weekly,Bi-Weekly,Monthly,Quarterly,As Needed"</formula1>
    </dataValidation>
    <dataValidation type="list" allowBlank="1" showInputMessage="1" showErrorMessage="1" sqref="G2" xr:uid="{260C485D-587F-43DE-B063-7182AC178DBD}">
      <formula1>"Complete,Awaiting Response,Planned,Other"</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e753d32-3d0e-4b0c-ba17-17810b6b2dee">
      <Terms xmlns="http://schemas.microsoft.com/office/infopath/2007/PartnerControls"/>
    </lcf76f155ced4ddcb4097134ff3c332f>
    <TaxCatchAll xmlns="c89e416c-4c29-47f7-9a79-f2bb4fe9a69b" xsi:nil="true"/>
    <_dlc_DocId xmlns="c89e416c-4c29-47f7-9a79-f2bb4fe9a69b">73WRFNMZF6N2-353167544-4413</_dlc_DocId>
    <_dlc_DocIdUrl xmlns="c89e416c-4c29-47f7-9a79-f2bb4fe9a69b">
      <Url>https://vermontgov.sharepoint.com/teams/AHS-COHealthCareReformTeam/_layouts/15/DocIdRedir.aspx?ID=73WRFNMZF6N2-353167544-4413</Url>
      <Description>73WRFNMZF6N2-353167544-4413</Description>
    </_dlc_DocIdUrl>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A099E7FDF9CF140AD60E153A6C4B42B" ma:contentTypeVersion="13" ma:contentTypeDescription="Create a new document." ma:contentTypeScope="" ma:versionID="ec5d422e3ec4d7ff1299284bbc48ae85">
  <xsd:schema xmlns:xsd="http://www.w3.org/2001/XMLSchema" xmlns:xs="http://www.w3.org/2001/XMLSchema" xmlns:p="http://schemas.microsoft.com/office/2006/metadata/properties" xmlns:ns2="c89e416c-4c29-47f7-9a79-f2bb4fe9a69b" xmlns:ns3="9e753d32-3d0e-4b0c-ba17-17810b6b2dee" targetNamespace="http://schemas.microsoft.com/office/2006/metadata/properties" ma:root="true" ma:fieldsID="4f12c25262964174e22d8543b5737c91" ns2:_="" ns3:_="">
    <xsd:import namespace="c89e416c-4c29-47f7-9a79-f2bb4fe9a69b"/>
    <xsd:import namespace="9e753d32-3d0e-4b0c-ba17-17810b6b2dee"/>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DateTaken" minOccurs="0"/>
                <xsd:element ref="ns3:MediaLengthInSeconds" minOccurs="0"/>
                <xsd:element ref="ns3:MediaServiceSearchProperties" minOccurs="0"/>
                <xsd:element ref="ns3:MediaServiceObjectDetectorVersions" minOccurs="0"/>
                <xsd:element ref="ns3:MediaServiceGenerationTime" minOccurs="0"/>
                <xsd:element ref="ns3:MediaServiceEventHashCode" minOccurs="0"/>
                <xsd:element ref="ns3:lcf76f155ced4ddcb4097134ff3c332f" minOccurs="0"/>
                <xsd:element ref="ns2:TaxCatchAll"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9e416c-4c29-47f7-9a79-f2bb4fe9a69b"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21" nillable="true" ma:displayName="Taxonomy Catch All Column" ma:hidden="true" ma:list="{e894a1d2-6f5b-41bc-b314-476ab9b1f8d6}" ma:internalName="TaxCatchAll" ma:showField="CatchAllData" ma:web="c89e416c-4c29-47f7-9a79-f2bb4fe9a69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e753d32-3d0e-4b0c-ba17-17810b6b2dee"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0b405ef0-1b2e-414d-886f-c62305e76806"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CE64B08-F34E-458C-A905-F0FA03EEB7A5}"/>
</file>

<file path=customXml/itemProps2.xml><?xml version="1.0" encoding="utf-8"?>
<ds:datastoreItem xmlns:ds="http://schemas.openxmlformats.org/officeDocument/2006/customXml" ds:itemID="{27F345EB-F07C-4954-9997-9A522366C06B}"/>
</file>

<file path=customXml/itemProps3.xml><?xml version="1.0" encoding="utf-8"?>
<ds:datastoreItem xmlns:ds="http://schemas.openxmlformats.org/officeDocument/2006/customXml" ds:itemID="{B7348224-27EA-49DF-A83C-8E5968D7A878}"/>
</file>

<file path=customXml/itemProps4.xml><?xml version="1.0" encoding="utf-8"?>
<ds:datastoreItem xmlns:ds="http://schemas.openxmlformats.org/officeDocument/2006/customXml" ds:itemID="{60CE1BC1-639F-4D06-885D-1C2B20D17F7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Stecko, Alice</dc:creator>
  <cp:keywords/>
  <dc:description/>
  <cp:lastModifiedBy>Just, Erin</cp:lastModifiedBy>
  <cp:revision/>
  <dcterms:created xsi:type="dcterms:W3CDTF">2025-10-30T14:43:30Z</dcterms:created>
  <dcterms:modified xsi:type="dcterms:W3CDTF">2026-01-20T19:23:49Z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0x0101009A099E7FDF9CF140AD60E153A6C4B42B</vt:lpwstr>
  </property>
  <property fmtid="{D5CDD505-2E9C-101B-9397-08002B2CF9AE}" pid="3" name="_dlc_DocIdItemGuid">
    <vt:lpwstr>e37dd3ea-646e-4a94-9b4d-61258d14d259</vt:lpwstr>
  </property>
  <property fmtid="{D5CDD505-2E9C-101B-9397-08002B2CF9AE}" pid="4" name="MediaServiceImageTags">
    <vt:lpwstr/>
  </property>
</Properties>
</file>